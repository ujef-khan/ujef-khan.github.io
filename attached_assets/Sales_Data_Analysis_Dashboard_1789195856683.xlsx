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Analysis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<sst xmlns="http://schemas.openxmlformats.org/spreadsheetml/2006/main" count="361" uniqueCount="118">
  <si>
    <t xml:space="preserve">SALES DATA ANALYSIS + PROFESSIONAL DASHBOARD</t>
  </si>
  <si>
    <t xml:space="preserve">Raw Sales Transactions  |  Jan 2025 – Jun 2025  |  Live formula-based sheet</t>
  </si>
  <si>
    <t xml:space="preserve">Date</t>
  </si>
  <si>
    <t xml:space="preserve">Order ID</t>
  </si>
  <si>
    <t xml:space="preserve">Customer</t>
  </si>
  <si>
    <t xml:space="preserve">Product</t>
  </si>
  <si>
    <t xml:space="preserve">Category</t>
  </si>
  <si>
    <t xml:space="preserve">Region</t>
  </si>
  <si>
    <t xml:space="preserve">Salesperson</t>
  </si>
  <si>
    <t xml:space="preserve">Quantity</t>
  </si>
  <si>
    <t xml:space="preserve">Unit Price (₹)</t>
  </si>
  <si>
    <t xml:space="preserve">Cost (₹)</t>
  </si>
  <si>
    <t xml:space="preserve">Revenue (₹)</t>
  </si>
  <si>
    <t xml:space="preserve">Total Cost (₹)</t>
  </si>
  <si>
    <t xml:space="preserve">Profit (₹)</t>
  </si>
  <si>
    <t xml:space="preserve">Month</t>
  </si>
  <si>
    <t xml:space="preserve">ORD1003</t>
  </si>
  <si>
    <t xml:space="preserve">Aggarwal Retail</t>
  </si>
  <si>
    <t xml:space="preserve">Laptop</t>
  </si>
  <si>
    <t xml:space="preserve">Computers</t>
  </si>
  <si>
    <t xml:space="preserve">North</t>
  </si>
  <si>
    <t xml:space="preserve">Farhan Ali</t>
  </si>
  <si>
    <t xml:space="preserve">ORD1004</t>
  </si>
  <si>
    <t xml:space="preserve">Orbit Systems</t>
  </si>
  <si>
    <t xml:space="preserve">Webcam</t>
  </si>
  <si>
    <t xml:space="preserve">Accessories</t>
  </si>
  <si>
    <t xml:space="preserve">East</t>
  </si>
  <si>
    <t xml:space="preserve">Rohan Mehta</t>
  </si>
  <si>
    <t xml:space="preserve">ORD1008</t>
  </si>
  <si>
    <t xml:space="preserve">ORD1001</t>
  </si>
  <si>
    <t xml:space="preserve">Bansal Electronics</t>
  </si>
  <si>
    <t xml:space="preserve">South</t>
  </si>
  <si>
    <t xml:space="preserve">Ayesha Khan</t>
  </si>
  <si>
    <t xml:space="preserve">ORD1002</t>
  </si>
  <si>
    <t xml:space="preserve">Trident Corp</t>
  </si>
  <si>
    <t xml:space="preserve">West</t>
  </si>
  <si>
    <t xml:space="preserve">ORD1005</t>
  </si>
  <si>
    <t xml:space="preserve">Nexa Solutions</t>
  </si>
  <si>
    <t xml:space="preserve">Monitor</t>
  </si>
  <si>
    <t xml:space="preserve">ORD1006</t>
  </si>
  <si>
    <t xml:space="preserve">Kapoor Digital</t>
  </si>
  <si>
    <t xml:space="preserve">Printer</t>
  </si>
  <si>
    <t xml:space="preserve">Karan Singh</t>
  </si>
  <si>
    <t xml:space="preserve">ORD1007</t>
  </si>
  <si>
    <t xml:space="preserve">Malhotra Traders</t>
  </si>
  <si>
    <t xml:space="preserve">Divya Nair</t>
  </si>
  <si>
    <t xml:space="preserve">ORD1009</t>
  </si>
  <si>
    <t xml:space="preserve">BrightPath Ltd</t>
  </si>
  <si>
    <t xml:space="preserve">ORD1012</t>
  </si>
  <si>
    <t xml:space="preserve">ORD1014</t>
  </si>
  <si>
    <t xml:space="preserve">ORD1017</t>
  </si>
  <si>
    <t xml:space="preserve">ORD1011</t>
  </si>
  <si>
    <t xml:space="preserve">Patel Enterprises</t>
  </si>
  <si>
    <t xml:space="preserve">ORD1015</t>
  </si>
  <si>
    <t xml:space="preserve">Kohli Enterprises</t>
  </si>
  <si>
    <t xml:space="preserve">ORD1016</t>
  </si>
  <si>
    <t xml:space="preserve">Keyboard</t>
  </si>
  <si>
    <t xml:space="preserve">ORD1010</t>
  </si>
  <si>
    <t xml:space="preserve">Zenith Infosys</t>
  </si>
  <si>
    <t xml:space="preserve">ORD1013</t>
  </si>
  <si>
    <t xml:space="preserve">ORD1023</t>
  </si>
  <si>
    <t xml:space="preserve">ORD1019</t>
  </si>
  <si>
    <t xml:space="preserve">ORD1022</t>
  </si>
  <si>
    <t xml:space="preserve">ORD1018</t>
  </si>
  <si>
    <t xml:space="preserve">Global InfoTech</t>
  </si>
  <si>
    <t xml:space="preserve">ORD1026</t>
  </si>
  <si>
    <t xml:space="preserve">ORD1025</t>
  </si>
  <si>
    <t xml:space="preserve">ORD1024</t>
  </si>
  <si>
    <t xml:space="preserve">ORD1020</t>
  </si>
  <si>
    <t xml:space="preserve">Mouse</t>
  </si>
  <si>
    <t xml:space="preserve">ORD1021</t>
  </si>
  <si>
    <t xml:space="preserve">ORD1031</t>
  </si>
  <si>
    <t xml:space="preserve">ORD1033</t>
  </si>
  <si>
    <t xml:space="preserve">Singhania Group</t>
  </si>
  <si>
    <t xml:space="preserve">ORD1028</t>
  </si>
  <si>
    <t xml:space="preserve">ORD1030</t>
  </si>
  <si>
    <t xml:space="preserve">ORD1034</t>
  </si>
  <si>
    <t xml:space="preserve">ORD1032</t>
  </si>
  <si>
    <t xml:space="preserve">ORD1029</t>
  </si>
  <si>
    <t xml:space="preserve">ORD1027</t>
  </si>
  <si>
    <t xml:space="preserve">ORD1039</t>
  </si>
  <si>
    <t xml:space="preserve">ORD1037</t>
  </si>
  <si>
    <t xml:space="preserve">ORD1042</t>
  </si>
  <si>
    <t xml:space="preserve">ORD1036</t>
  </si>
  <si>
    <t xml:space="preserve">ORD1041</t>
  </si>
  <si>
    <t xml:space="preserve">ORD1038</t>
  </si>
  <si>
    <t xml:space="preserve">ORD1035</t>
  </si>
  <si>
    <t xml:space="preserve">ORD1040</t>
  </si>
  <si>
    <t xml:space="preserve">ORD1049</t>
  </si>
  <si>
    <t xml:space="preserve">ORD1044</t>
  </si>
  <si>
    <t xml:space="preserve">ORD1047</t>
  </si>
  <si>
    <t xml:space="preserve">ORD1043</t>
  </si>
  <si>
    <t xml:space="preserve">ORD1048</t>
  </si>
  <si>
    <t xml:space="preserve">ORD1050</t>
  </si>
  <si>
    <t xml:space="preserve">ORD1046</t>
  </si>
  <si>
    <t xml:space="preserve">ORD1045</t>
  </si>
  <si>
    <t xml:space="preserve">Formula Logic</t>
  </si>
  <si>
    <t xml:space="preserve">•  Revenue = Quantity × Unit Price</t>
  </si>
  <si>
    <t xml:space="preserve">•  Total Cost = Quantity × Cost</t>
  </si>
  <si>
    <t xml:space="preserve">•  Profit = Revenue − Total Cost</t>
  </si>
  <si>
    <t xml:space="preserve">•  Month = auto-extracted from Date, used to group the Month-wise summary</t>
  </si>
  <si>
    <t xml:space="preserve">SALES ANALYSIS SUMMARY</t>
  </si>
  <si>
    <t xml:space="preserve">Product-wise Summary</t>
  </si>
  <si>
    <t xml:space="preserve">Orders</t>
  </si>
  <si>
    <t xml:space="preserve">Quantity Sold</t>
  </si>
  <si>
    <t xml:space="preserve">Region-wise Summary</t>
  </si>
  <si>
    <t xml:space="preserve">Month-wise Summary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</si>
  <si>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</si>
  <si>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</si>
  <si>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</si>
  <si>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</si>
  <si>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</si>
  <si>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</si>
  <si>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SALES DASHBOARD</t>
  </si>
  <si>
    <t xml:space="preserve">TOTAL SALES</t>
  </si>
  <si>
    <t xml:space="preserve">TOTAL PROFIT</t>
  </si>
  <si>
    <t xml:space="preserve">TOTAL ORDERS</t>
  </si>
  <si>
    <t xml:space="preserve">AVG ORDER VALUE (₹)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</si>
</sst>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\₹#,##0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1F2A44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i val="true"/>
      <sz val="9.5"/>
      <color rgb="FF475467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6"/>
      <color rgb="FF1F2A4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4F7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8702A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9F9F9"/>
      <rgbColor rgb="FFF2F4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02A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47546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Product-wise Sales (Revenue)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Analysis!$A$5:$A$10</c:f>
              <c:strCache>
                <c:ptCount val="6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Keyboard</c:v>
                </c:pt>
                <c:pt idx="4">
                  <c:v>Mouse</c:v>
                </c:pt>
                <c:pt idx="5">
                  <c:v>Webcam</c:v>
                </c:pt>
              </c:strCache>
            </c:strRef>
          </c:cat>
          <c:val>
            <c:numRef>
              <c:f>Analysis!$D$5:$D$10</c:f>
              <c:numCache>
                <c:formatCode>\₹#,##0</c:formatCode>
                <c:ptCount val="6"/>
                <c:pt idx="0">
                  <c:v>2403000</c:v>
                </c:pt>
                <c:pt idx="1">
                  <c:v>444500</c:v>
                </c:pt>
                <c:pt idx="2">
                  <c:v>465500</c:v>
                </c:pt>
                <c:pt idx="3">
                  <c:v>32720</c:v>
                </c:pt>
                <c:pt idx="4">
                  <c:v>15180</c:v>
                </c:pt>
                <c:pt idx="5">
                  <c:v>66000</c:v>
                </c:pt>
              </c:numCache>
            </c:numRef>
          </c:val>
        </c:ser>
        <c:gapWidth val="150"/>
        <c:overlap val="0"/>
        <c:axId val="80762190"/>
        <c:axId val="76456421"/>
      </c:barChart>
      <c:catAx>
        <c:axId val="807621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56421"/>
        <c:crosses val="autoZero"/>
        <c:auto val="1"/>
        <c:lblAlgn val="ctr"/>
        <c:lblOffset val="100"/>
        <c:noMultiLvlLbl val="0"/>
      </c:catAx>
      <c:valAx>
        <c:axId val="764564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621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Region-wise Sales (Revenue)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Analysis!D14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Analysis!$A$15:$A$18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Analysis!$D$15:$D$18</c:f>
              <c:numCache>
                <c:formatCode>\₹#,##0</c:formatCode>
                <c:ptCount val="4"/>
                <c:pt idx="0">
                  <c:v>1667040</c:v>
                </c:pt>
                <c:pt idx="1">
                  <c:v>938460</c:v>
                </c:pt>
                <c:pt idx="2">
                  <c:v>322300</c:v>
                </c:pt>
                <c:pt idx="3">
                  <c:v>499100</c:v>
                </c:pt>
              </c:numCache>
            </c:numRef>
          </c:val>
        </c:ser>
        <c:gapWidth val="150"/>
        <c:overlap val="0"/>
        <c:axId val="12021519"/>
        <c:axId val="30336960"/>
      </c:barChart>
      <c:catAx>
        <c:axId val="1202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36960"/>
        <c:crosses val="autoZero"/>
        <c:auto val="1"/>
        <c:lblAlgn val="ctr"/>
        <c:lblOffset val="100"/>
        <c:noMultiLvlLbl val="0"/>
      </c:catAx>
      <c:valAx>
        <c:axId val="303369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215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Analysis!D22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Analysis!$A$23:$A$28</c:f>
              <c:strCache>
                <c:ptCount val="6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</c:strCache>
            </c:strRef>
          </c:cat>
          <c:val>
            <c:numRef>
              <c:f>Analysis!$D$23:$D$28</c:f>
              <c:numCache>
                <c:formatCode>\₹#,##0</c:formatCode>
                <c:ptCount val="6"/>
                <c:pt idx="0">
                  <c:v>788580</c:v>
                </c:pt>
                <c:pt idx="1">
                  <c:v>237060</c:v>
                </c:pt>
                <c:pt idx="2">
                  <c:v>657140</c:v>
                </c:pt>
                <c:pt idx="3">
                  <c:v>392040</c:v>
                </c:pt>
                <c:pt idx="4">
                  <c:v>670520</c:v>
                </c:pt>
                <c:pt idx="5">
                  <c:v>681560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431165"/>
        <c:axId val="26632655"/>
      </c:lineChart>
      <c:catAx>
        <c:axId val="234311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32655"/>
        <c:crosses val="autoZero"/>
        <c:auto val="1"/>
        <c:lblAlgn val="ctr"/>
        <c:lblOffset val="100"/>
        <c:noMultiLvlLbl val="0"/>
      </c:catAx>
      <c:valAx>
        <c:axId val="2663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311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6</xdr:col>
      <xdr:colOff>534240</xdr:colOff>
      <xdr:row>23</xdr:row>
      <xdr:rowOff>1080</xdr:rowOff>
    </xdr:to>
    <xdr:graphicFrame>
      <xdr:nvGraphicFramePr>
        <xdr:cNvPr id="0" name="Chart 1"/>
        <xdr:cNvGraphicFramePr/>
      </xdr:nvGraphicFramePr>
      <xdr:xfrm>
        <a:off x="0" y="15145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</xdr:row>
      <xdr:rowOff>0</xdr:rowOff>
    </xdr:from>
    <xdr:to>
      <xdr:col>15</xdr:col>
      <xdr:colOff>308160</xdr:colOff>
      <xdr:row>23</xdr:row>
      <xdr:rowOff>1080</xdr:rowOff>
    </xdr:to>
    <xdr:graphicFrame>
      <xdr:nvGraphicFramePr>
        <xdr:cNvPr id="1" name="Chart 2"/>
        <xdr:cNvGraphicFramePr/>
      </xdr:nvGraphicFramePr>
      <xdr:xfrm>
        <a:off x="5676120" y="15145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15</xdr:col>
      <xdr:colOff>32040</xdr:colOff>
      <xdr:row>40</xdr:row>
      <xdr:rowOff>1080</xdr:rowOff>
    </xdr:to>
    <xdr:graphicFrame>
      <xdr:nvGraphicFramePr>
        <xdr:cNvPr id="2" name="Chart 3"/>
        <xdr:cNvGraphicFramePr/>
      </xdr:nvGraphicFramePr>
      <xdr:xfrm>
        <a:off x="0" y="475308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6" hidden="false" customHeight="true" outlineLevel="0" collapsed="false"/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45658</v>
      </c>
      <c r="B5" s="5" t="s">
        <v>16</v>
      </c>
      <c r="C5" s="6" t="s">
        <v>17</v>
      </c>
      <c r="D5" s="6" t="s">
        <v>18</v>
      </c>
      <c r="E5" s="5" t="s">
        <v>19</v>
      </c>
      <c r="F5" s="5" t="s">
        <v>20</v>
      </c>
      <c r="G5" s="6" t="s">
        <v>21</v>
      </c>
      <c r="H5" s="5" t="n">
        <v>4</v>
      </c>
      <c r="I5" s="7" t="n">
        <v>45000</v>
      </c>
      <c r="J5" s="7" t="n">
        <v>38000</v>
      </c>
      <c r="K5" s="7" t="n">
        <f aca="false">H5*I5</f>
        <v>180000</v>
      </c>
      <c r="L5" s="7" t="n">
        <f aca="false">H5*J5</f>
        <v>152000</v>
      </c>
      <c r="M5" s="7" t="n">
        <f aca="false">K5-L5</f>
        <v>28000</v>
      </c>
      <c r="N5" s="5" t="str">
        <f aca="false">TEXT(A5,"mmm-yyyy")</f>
        <v>Jan-2025</v>
      </c>
    </row>
    <row r="6" customFormat="false" ht="15" hidden="false" customHeight="false" outlineLevel="0" collapsed="false">
      <c r="A6" s="8" t="n">
        <v>45664</v>
      </c>
      <c r="B6" s="9" t="s">
        <v>22</v>
      </c>
      <c r="C6" s="10" t="s">
        <v>23</v>
      </c>
      <c r="D6" s="10" t="s">
        <v>24</v>
      </c>
      <c r="E6" s="9" t="s">
        <v>25</v>
      </c>
      <c r="F6" s="9" t="s">
        <v>26</v>
      </c>
      <c r="G6" s="10" t="s">
        <v>27</v>
      </c>
      <c r="H6" s="9" t="n">
        <v>4</v>
      </c>
      <c r="I6" s="11" t="n">
        <v>1520</v>
      </c>
      <c r="J6" s="11" t="n">
        <v>1000</v>
      </c>
      <c r="K6" s="11" t="n">
        <f aca="false">H6*I6</f>
        <v>6080</v>
      </c>
      <c r="L6" s="11" t="n">
        <f aca="false">H6*J6</f>
        <v>4000</v>
      </c>
      <c r="M6" s="11" t="n">
        <f aca="false">K6-L6</f>
        <v>2080</v>
      </c>
      <c r="N6" s="9" t="str">
        <f aca="false">TEXT(A6,"mmm-yyyy")</f>
        <v>Jan-2025</v>
      </c>
    </row>
    <row r="7" customFormat="false" ht="15" hidden="false" customHeight="false" outlineLevel="0" collapsed="false">
      <c r="A7" s="4" t="n">
        <v>45675</v>
      </c>
      <c r="B7" s="5" t="s">
        <v>28</v>
      </c>
      <c r="C7" s="6" t="s">
        <v>17</v>
      </c>
      <c r="D7" s="6" t="s">
        <v>18</v>
      </c>
      <c r="E7" s="5" t="s">
        <v>19</v>
      </c>
      <c r="F7" s="5" t="s">
        <v>26</v>
      </c>
      <c r="G7" s="6" t="s">
        <v>21</v>
      </c>
      <c r="H7" s="5" t="n">
        <v>2</v>
      </c>
      <c r="I7" s="7" t="n">
        <v>45500</v>
      </c>
      <c r="J7" s="7" t="n">
        <v>38000</v>
      </c>
      <c r="K7" s="7" t="n">
        <f aca="false">H7*I7</f>
        <v>91000</v>
      </c>
      <c r="L7" s="7" t="n">
        <f aca="false">H7*J7</f>
        <v>76000</v>
      </c>
      <c r="M7" s="7" t="n">
        <f aca="false">K7-L7</f>
        <v>15000</v>
      </c>
      <c r="N7" s="5" t="str">
        <f aca="false">TEXT(A7,"mmm-yyyy")</f>
        <v>Jan-2025</v>
      </c>
    </row>
    <row r="8" customFormat="false" ht="15" hidden="false" customHeight="false" outlineLevel="0" collapsed="false">
      <c r="A8" s="8" t="n">
        <v>45678</v>
      </c>
      <c r="B8" s="9" t="s">
        <v>29</v>
      </c>
      <c r="C8" s="10" t="s">
        <v>30</v>
      </c>
      <c r="D8" s="10" t="s">
        <v>18</v>
      </c>
      <c r="E8" s="9" t="s">
        <v>19</v>
      </c>
      <c r="F8" s="9" t="s">
        <v>31</v>
      </c>
      <c r="G8" s="10" t="s">
        <v>32</v>
      </c>
      <c r="H8" s="9" t="n">
        <v>5</v>
      </c>
      <c r="I8" s="11" t="n">
        <v>44500</v>
      </c>
      <c r="J8" s="11" t="n">
        <v>38000</v>
      </c>
      <c r="K8" s="11" t="n">
        <f aca="false">H8*I8</f>
        <v>222500</v>
      </c>
      <c r="L8" s="11" t="n">
        <f aca="false">H8*J8</f>
        <v>190000</v>
      </c>
      <c r="M8" s="11" t="n">
        <f aca="false">K8-L8</f>
        <v>32500</v>
      </c>
      <c r="N8" s="9" t="str">
        <f aca="false">TEXT(A8,"mmm-yyyy")</f>
        <v>Jan-2025</v>
      </c>
    </row>
    <row r="9" customFormat="false" ht="15" hidden="false" customHeight="false" outlineLevel="0" collapsed="false">
      <c r="A9" s="4" t="n">
        <v>45681</v>
      </c>
      <c r="B9" s="5" t="s">
        <v>33</v>
      </c>
      <c r="C9" s="6" t="s">
        <v>34</v>
      </c>
      <c r="D9" s="6" t="s">
        <v>18</v>
      </c>
      <c r="E9" s="5" t="s">
        <v>19</v>
      </c>
      <c r="F9" s="5" t="s">
        <v>35</v>
      </c>
      <c r="G9" s="6" t="s">
        <v>27</v>
      </c>
      <c r="H9" s="5" t="n">
        <v>2</v>
      </c>
      <c r="I9" s="7" t="n">
        <v>46000</v>
      </c>
      <c r="J9" s="7" t="n">
        <v>38000</v>
      </c>
      <c r="K9" s="7" t="n">
        <f aca="false">H9*I9</f>
        <v>92000</v>
      </c>
      <c r="L9" s="7" t="n">
        <f aca="false">H9*J9</f>
        <v>76000</v>
      </c>
      <c r="M9" s="7" t="n">
        <f aca="false">K9-L9</f>
        <v>16000</v>
      </c>
      <c r="N9" s="5" t="str">
        <f aca="false">TEXT(A9,"mmm-yyyy")</f>
        <v>Jan-2025</v>
      </c>
    </row>
    <row r="10" customFormat="false" ht="15" hidden="false" customHeight="false" outlineLevel="0" collapsed="false">
      <c r="A10" s="8" t="n">
        <v>45682</v>
      </c>
      <c r="B10" s="9" t="s">
        <v>36</v>
      </c>
      <c r="C10" s="10" t="s">
        <v>37</v>
      </c>
      <c r="D10" s="10" t="s">
        <v>38</v>
      </c>
      <c r="E10" s="9" t="s">
        <v>19</v>
      </c>
      <c r="F10" s="9" t="s">
        <v>31</v>
      </c>
      <c r="G10" s="10" t="s">
        <v>32</v>
      </c>
      <c r="H10" s="9" t="n">
        <v>6</v>
      </c>
      <c r="I10" s="11" t="n">
        <v>9500</v>
      </c>
      <c r="J10" s="11" t="n">
        <v>7000</v>
      </c>
      <c r="K10" s="11" t="n">
        <f aca="false">H10*I10</f>
        <v>57000</v>
      </c>
      <c r="L10" s="11" t="n">
        <f aca="false">H10*J10</f>
        <v>42000</v>
      </c>
      <c r="M10" s="11" t="n">
        <f aca="false">K10-L10</f>
        <v>15000</v>
      </c>
      <c r="N10" s="9" t="str">
        <f aca="false">TEXT(A10,"mmm-yyyy")</f>
        <v>Jan-2025</v>
      </c>
    </row>
    <row r="11" customFormat="false" ht="15" hidden="false" customHeight="false" outlineLevel="0" collapsed="false">
      <c r="A11" s="4" t="n">
        <v>45682</v>
      </c>
      <c r="B11" s="5" t="s">
        <v>39</v>
      </c>
      <c r="C11" s="6" t="s">
        <v>40</v>
      </c>
      <c r="D11" s="6" t="s">
        <v>41</v>
      </c>
      <c r="E11" s="5" t="s">
        <v>19</v>
      </c>
      <c r="F11" s="5" t="s">
        <v>20</v>
      </c>
      <c r="G11" s="6" t="s">
        <v>42</v>
      </c>
      <c r="H11" s="5" t="n">
        <v>2</v>
      </c>
      <c r="I11" s="7" t="n">
        <v>11500</v>
      </c>
      <c r="J11" s="7" t="n">
        <v>9500</v>
      </c>
      <c r="K11" s="7" t="n">
        <f aca="false">H11*I11</f>
        <v>23000</v>
      </c>
      <c r="L11" s="7" t="n">
        <f aca="false">H11*J11</f>
        <v>19000</v>
      </c>
      <c r="M11" s="7" t="n">
        <f aca="false">K11-L11</f>
        <v>4000</v>
      </c>
      <c r="N11" s="5" t="str">
        <f aca="false">TEXT(A11,"mmm-yyyy")</f>
        <v>Jan-2025</v>
      </c>
    </row>
    <row r="12" customFormat="false" ht="15" hidden="false" customHeight="false" outlineLevel="0" collapsed="false">
      <c r="A12" s="8" t="n">
        <v>45685</v>
      </c>
      <c r="B12" s="9" t="s">
        <v>43</v>
      </c>
      <c r="C12" s="10" t="s">
        <v>44</v>
      </c>
      <c r="D12" s="10" t="s">
        <v>41</v>
      </c>
      <c r="E12" s="9" t="s">
        <v>19</v>
      </c>
      <c r="F12" s="9" t="s">
        <v>20</v>
      </c>
      <c r="G12" s="10" t="s">
        <v>45</v>
      </c>
      <c r="H12" s="9" t="n">
        <v>5</v>
      </c>
      <c r="I12" s="11" t="n">
        <v>13000</v>
      </c>
      <c r="J12" s="11" t="n">
        <v>9500</v>
      </c>
      <c r="K12" s="11" t="n">
        <f aca="false">H12*I12</f>
        <v>65000</v>
      </c>
      <c r="L12" s="11" t="n">
        <f aca="false">H12*J12</f>
        <v>47500</v>
      </c>
      <c r="M12" s="11" t="n">
        <f aca="false">K12-L12</f>
        <v>17500</v>
      </c>
      <c r="N12" s="9" t="str">
        <f aca="false">TEXT(A12,"mmm-yyyy")</f>
        <v>Jan-2025</v>
      </c>
    </row>
    <row r="13" customFormat="false" ht="15" hidden="false" customHeight="false" outlineLevel="0" collapsed="false">
      <c r="A13" s="4" t="n">
        <v>45685</v>
      </c>
      <c r="B13" s="5" t="s">
        <v>46</v>
      </c>
      <c r="C13" s="6" t="s">
        <v>47</v>
      </c>
      <c r="D13" s="6" t="s">
        <v>41</v>
      </c>
      <c r="E13" s="5" t="s">
        <v>19</v>
      </c>
      <c r="F13" s="5" t="s">
        <v>20</v>
      </c>
      <c r="G13" s="6" t="s">
        <v>27</v>
      </c>
      <c r="H13" s="5" t="n">
        <v>4</v>
      </c>
      <c r="I13" s="7" t="n">
        <v>13000</v>
      </c>
      <c r="J13" s="7" t="n">
        <v>9500</v>
      </c>
      <c r="K13" s="7" t="n">
        <f aca="false">H13*I13</f>
        <v>52000</v>
      </c>
      <c r="L13" s="7" t="n">
        <f aca="false">H13*J13</f>
        <v>38000</v>
      </c>
      <c r="M13" s="7" t="n">
        <f aca="false">K13-L13</f>
        <v>14000</v>
      </c>
      <c r="N13" s="5" t="str">
        <f aca="false">TEXT(A13,"mmm-yyyy")</f>
        <v>Jan-2025</v>
      </c>
    </row>
    <row r="14" customFormat="false" ht="15" hidden="false" customHeight="false" outlineLevel="0" collapsed="false">
      <c r="A14" s="8" t="n">
        <v>45695</v>
      </c>
      <c r="B14" s="9" t="s">
        <v>48</v>
      </c>
      <c r="C14" s="10" t="s">
        <v>34</v>
      </c>
      <c r="D14" s="10" t="s">
        <v>24</v>
      </c>
      <c r="E14" s="9" t="s">
        <v>25</v>
      </c>
      <c r="F14" s="9" t="s">
        <v>31</v>
      </c>
      <c r="G14" s="10" t="s">
        <v>21</v>
      </c>
      <c r="H14" s="9" t="n">
        <v>2</v>
      </c>
      <c r="I14" s="11" t="n">
        <v>1500</v>
      </c>
      <c r="J14" s="11" t="n">
        <v>1000</v>
      </c>
      <c r="K14" s="11" t="n">
        <f aca="false">H14*I14</f>
        <v>3000</v>
      </c>
      <c r="L14" s="11" t="n">
        <f aca="false">H14*J14</f>
        <v>2000</v>
      </c>
      <c r="M14" s="11" t="n">
        <f aca="false">K14-L14</f>
        <v>1000</v>
      </c>
      <c r="N14" s="9" t="str">
        <f aca="false">TEXT(A14,"mmm-yyyy")</f>
        <v>Feb-2025</v>
      </c>
    </row>
    <row r="15" customFormat="false" ht="15" hidden="false" customHeight="false" outlineLevel="0" collapsed="false">
      <c r="A15" s="4" t="n">
        <v>45696</v>
      </c>
      <c r="B15" s="5" t="s">
        <v>49</v>
      </c>
      <c r="C15" s="6" t="s">
        <v>30</v>
      </c>
      <c r="D15" s="6" t="s">
        <v>24</v>
      </c>
      <c r="E15" s="5" t="s">
        <v>25</v>
      </c>
      <c r="F15" s="5" t="s">
        <v>20</v>
      </c>
      <c r="G15" s="6" t="s">
        <v>42</v>
      </c>
      <c r="H15" s="5" t="n">
        <v>1</v>
      </c>
      <c r="I15" s="7" t="n">
        <v>1500</v>
      </c>
      <c r="J15" s="7" t="n">
        <v>1000</v>
      </c>
      <c r="K15" s="7" t="n">
        <f aca="false">H15*I15</f>
        <v>1500</v>
      </c>
      <c r="L15" s="7" t="n">
        <f aca="false">H15*J15</f>
        <v>1000</v>
      </c>
      <c r="M15" s="7" t="n">
        <f aca="false">K15-L15</f>
        <v>500</v>
      </c>
      <c r="N15" s="5" t="str">
        <f aca="false">TEXT(A15,"mmm-yyyy")</f>
        <v>Feb-2025</v>
      </c>
    </row>
    <row r="16" customFormat="false" ht="15" hidden="false" customHeight="false" outlineLevel="0" collapsed="false">
      <c r="A16" s="8" t="n">
        <v>45696</v>
      </c>
      <c r="B16" s="9" t="s">
        <v>50</v>
      </c>
      <c r="C16" s="10" t="s">
        <v>40</v>
      </c>
      <c r="D16" s="10" t="s">
        <v>24</v>
      </c>
      <c r="E16" s="9" t="s">
        <v>25</v>
      </c>
      <c r="F16" s="9" t="s">
        <v>35</v>
      </c>
      <c r="G16" s="10" t="s">
        <v>42</v>
      </c>
      <c r="H16" s="9" t="n">
        <v>10</v>
      </c>
      <c r="I16" s="11" t="n">
        <v>1500</v>
      </c>
      <c r="J16" s="11" t="n">
        <v>1000</v>
      </c>
      <c r="K16" s="11" t="n">
        <f aca="false">H16*I16</f>
        <v>15000</v>
      </c>
      <c r="L16" s="11" t="n">
        <f aca="false">H16*J16</f>
        <v>10000</v>
      </c>
      <c r="M16" s="11" t="n">
        <f aca="false">K16-L16</f>
        <v>5000</v>
      </c>
      <c r="N16" s="9" t="str">
        <f aca="false">TEXT(A16,"mmm-yyyy")</f>
        <v>Feb-2025</v>
      </c>
    </row>
    <row r="17" customFormat="false" ht="15" hidden="false" customHeight="false" outlineLevel="0" collapsed="false">
      <c r="A17" s="4" t="n">
        <v>45701</v>
      </c>
      <c r="B17" s="5" t="s">
        <v>51</v>
      </c>
      <c r="C17" s="6" t="s">
        <v>52</v>
      </c>
      <c r="D17" s="6" t="s">
        <v>41</v>
      </c>
      <c r="E17" s="5" t="s">
        <v>19</v>
      </c>
      <c r="F17" s="5" t="s">
        <v>26</v>
      </c>
      <c r="G17" s="6" t="s">
        <v>42</v>
      </c>
      <c r="H17" s="5" t="n">
        <v>6</v>
      </c>
      <c r="I17" s="7" t="n">
        <v>12500</v>
      </c>
      <c r="J17" s="7" t="n">
        <v>9500</v>
      </c>
      <c r="K17" s="7" t="n">
        <f aca="false">H17*I17</f>
        <v>75000</v>
      </c>
      <c r="L17" s="7" t="n">
        <f aca="false">H17*J17</f>
        <v>57000</v>
      </c>
      <c r="M17" s="7" t="n">
        <f aca="false">K17-L17</f>
        <v>18000</v>
      </c>
      <c r="N17" s="5" t="str">
        <f aca="false">TEXT(A17,"mmm-yyyy")</f>
        <v>Feb-2025</v>
      </c>
    </row>
    <row r="18" customFormat="false" ht="15" hidden="false" customHeight="false" outlineLevel="0" collapsed="false">
      <c r="A18" s="8" t="n">
        <v>45701</v>
      </c>
      <c r="B18" s="9" t="s">
        <v>53</v>
      </c>
      <c r="C18" s="10" t="s">
        <v>54</v>
      </c>
      <c r="D18" s="10" t="s">
        <v>41</v>
      </c>
      <c r="E18" s="9" t="s">
        <v>19</v>
      </c>
      <c r="F18" s="9" t="s">
        <v>26</v>
      </c>
      <c r="G18" s="10" t="s">
        <v>32</v>
      </c>
      <c r="H18" s="9" t="n">
        <v>4</v>
      </c>
      <c r="I18" s="11" t="n">
        <v>11500</v>
      </c>
      <c r="J18" s="11" t="n">
        <v>9500</v>
      </c>
      <c r="K18" s="11" t="n">
        <f aca="false">H18*I18</f>
        <v>46000</v>
      </c>
      <c r="L18" s="11" t="n">
        <f aca="false">H18*J18</f>
        <v>38000</v>
      </c>
      <c r="M18" s="11" t="n">
        <f aca="false">K18-L18</f>
        <v>8000</v>
      </c>
      <c r="N18" s="9" t="str">
        <f aca="false">TEXT(A18,"mmm-yyyy")</f>
        <v>Feb-2025</v>
      </c>
    </row>
    <row r="19" customFormat="false" ht="15" hidden="false" customHeight="false" outlineLevel="0" collapsed="false">
      <c r="A19" s="4" t="n">
        <v>45709</v>
      </c>
      <c r="B19" s="5" t="s">
        <v>55</v>
      </c>
      <c r="C19" s="6" t="s">
        <v>52</v>
      </c>
      <c r="D19" s="6" t="s">
        <v>56</v>
      </c>
      <c r="E19" s="5" t="s">
        <v>25</v>
      </c>
      <c r="F19" s="5" t="s">
        <v>26</v>
      </c>
      <c r="G19" s="6" t="s">
        <v>32</v>
      </c>
      <c r="H19" s="5" t="n">
        <v>8</v>
      </c>
      <c r="I19" s="7" t="n">
        <v>820</v>
      </c>
      <c r="J19" s="7" t="n">
        <v>500</v>
      </c>
      <c r="K19" s="7" t="n">
        <f aca="false">H19*I19</f>
        <v>6560</v>
      </c>
      <c r="L19" s="7" t="n">
        <f aca="false">H19*J19</f>
        <v>4000</v>
      </c>
      <c r="M19" s="7" t="n">
        <f aca="false">K19-L19</f>
        <v>2560</v>
      </c>
      <c r="N19" s="5" t="str">
        <f aca="false">TEXT(A19,"mmm-yyyy")</f>
        <v>Feb-2025</v>
      </c>
    </row>
    <row r="20" customFormat="false" ht="15" hidden="false" customHeight="false" outlineLevel="0" collapsed="false">
      <c r="A20" s="8" t="n">
        <v>45710</v>
      </c>
      <c r="B20" s="9" t="s">
        <v>57</v>
      </c>
      <c r="C20" s="10" t="s">
        <v>58</v>
      </c>
      <c r="D20" s="10" t="s">
        <v>38</v>
      </c>
      <c r="E20" s="9" t="s">
        <v>19</v>
      </c>
      <c r="F20" s="9" t="s">
        <v>31</v>
      </c>
      <c r="G20" s="10" t="s">
        <v>27</v>
      </c>
      <c r="H20" s="9" t="n">
        <v>2</v>
      </c>
      <c r="I20" s="11" t="n">
        <v>9000</v>
      </c>
      <c r="J20" s="11" t="n">
        <v>7000</v>
      </c>
      <c r="K20" s="11" t="n">
        <f aca="false">H20*I20</f>
        <v>18000</v>
      </c>
      <c r="L20" s="11" t="n">
        <f aca="false">H20*J20</f>
        <v>14000</v>
      </c>
      <c r="M20" s="11" t="n">
        <f aca="false">K20-L20</f>
        <v>4000</v>
      </c>
      <c r="N20" s="9" t="str">
        <f aca="false">TEXT(A20,"mmm-yyyy")</f>
        <v>Feb-2025</v>
      </c>
    </row>
    <row r="21" customFormat="false" ht="15" hidden="false" customHeight="false" outlineLevel="0" collapsed="false">
      <c r="A21" s="4" t="n">
        <v>45712</v>
      </c>
      <c r="B21" s="5" t="s">
        <v>59</v>
      </c>
      <c r="C21" s="6" t="s">
        <v>40</v>
      </c>
      <c r="D21" s="6" t="s">
        <v>38</v>
      </c>
      <c r="E21" s="5" t="s">
        <v>19</v>
      </c>
      <c r="F21" s="5" t="s">
        <v>26</v>
      </c>
      <c r="G21" s="6" t="s">
        <v>21</v>
      </c>
      <c r="H21" s="5" t="n">
        <v>8</v>
      </c>
      <c r="I21" s="7" t="n">
        <v>9000</v>
      </c>
      <c r="J21" s="7" t="n">
        <v>7000</v>
      </c>
      <c r="K21" s="7" t="n">
        <f aca="false">H21*I21</f>
        <v>72000</v>
      </c>
      <c r="L21" s="7" t="n">
        <f aca="false">H21*J21</f>
        <v>56000</v>
      </c>
      <c r="M21" s="7" t="n">
        <f aca="false">K21-L21</f>
        <v>16000</v>
      </c>
      <c r="N21" s="5" t="str">
        <f aca="false">TEXT(A21,"mmm-yyyy")</f>
        <v>Feb-2025</v>
      </c>
    </row>
    <row r="22" customFormat="false" ht="15" hidden="false" customHeight="false" outlineLevel="0" collapsed="false">
      <c r="A22" s="8" t="n">
        <v>45720</v>
      </c>
      <c r="B22" s="9" t="s">
        <v>60</v>
      </c>
      <c r="C22" s="10" t="s">
        <v>34</v>
      </c>
      <c r="D22" s="10" t="s">
        <v>24</v>
      </c>
      <c r="E22" s="9" t="s">
        <v>25</v>
      </c>
      <c r="F22" s="9" t="s">
        <v>31</v>
      </c>
      <c r="G22" s="10" t="s">
        <v>32</v>
      </c>
      <c r="H22" s="9" t="n">
        <v>9</v>
      </c>
      <c r="I22" s="11" t="n">
        <v>1500</v>
      </c>
      <c r="J22" s="11" t="n">
        <v>1000</v>
      </c>
      <c r="K22" s="11" t="n">
        <f aca="false">H22*I22</f>
        <v>13500</v>
      </c>
      <c r="L22" s="11" t="n">
        <f aca="false">H22*J22</f>
        <v>9000</v>
      </c>
      <c r="M22" s="11" t="n">
        <f aca="false">K22-L22</f>
        <v>4500</v>
      </c>
      <c r="N22" s="9" t="str">
        <f aca="false">TEXT(A22,"mmm-yyyy")</f>
        <v>Mar-2025</v>
      </c>
    </row>
    <row r="23" customFormat="false" ht="15" hidden="false" customHeight="false" outlineLevel="0" collapsed="false">
      <c r="A23" s="4" t="n">
        <v>45721</v>
      </c>
      <c r="B23" s="5" t="s">
        <v>61</v>
      </c>
      <c r="C23" s="6" t="s">
        <v>34</v>
      </c>
      <c r="D23" s="6" t="s">
        <v>24</v>
      </c>
      <c r="E23" s="5" t="s">
        <v>25</v>
      </c>
      <c r="F23" s="5" t="s">
        <v>20</v>
      </c>
      <c r="G23" s="6" t="s">
        <v>45</v>
      </c>
      <c r="H23" s="5" t="n">
        <v>7</v>
      </c>
      <c r="I23" s="7" t="n">
        <v>1500</v>
      </c>
      <c r="J23" s="7" t="n">
        <v>1000</v>
      </c>
      <c r="K23" s="7" t="n">
        <f aca="false">H23*I23</f>
        <v>10500</v>
      </c>
      <c r="L23" s="7" t="n">
        <f aca="false">H23*J23</f>
        <v>7000</v>
      </c>
      <c r="M23" s="7" t="n">
        <f aca="false">K23-L23</f>
        <v>3500</v>
      </c>
      <c r="N23" s="5" t="str">
        <f aca="false">TEXT(A23,"mmm-yyyy")</f>
        <v>Mar-2025</v>
      </c>
    </row>
    <row r="24" customFormat="false" ht="15" hidden="false" customHeight="false" outlineLevel="0" collapsed="false">
      <c r="A24" s="8" t="n">
        <v>45722</v>
      </c>
      <c r="B24" s="9" t="s">
        <v>62</v>
      </c>
      <c r="C24" s="10" t="s">
        <v>17</v>
      </c>
      <c r="D24" s="10" t="s">
        <v>56</v>
      </c>
      <c r="E24" s="9" t="s">
        <v>25</v>
      </c>
      <c r="F24" s="9" t="s">
        <v>31</v>
      </c>
      <c r="G24" s="10" t="s">
        <v>21</v>
      </c>
      <c r="H24" s="9" t="n">
        <v>5</v>
      </c>
      <c r="I24" s="11" t="n">
        <v>780</v>
      </c>
      <c r="J24" s="11" t="n">
        <v>500</v>
      </c>
      <c r="K24" s="11" t="n">
        <f aca="false">H24*I24</f>
        <v>3900</v>
      </c>
      <c r="L24" s="11" t="n">
        <f aca="false">H24*J24</f>
        <v>2500</v>
      </c>
      <c r="M24" s="11" t="n">
        <f aca="false">K24-L24</f>
        <v>1400</v>
      </c>
      <c r="N24" s="9" t="str">
        <f aca="false">TEXT(A24,"mmm-yyyy")</f>
        <v>Mar-2025</v>
      </c>
    </row>
    <row r="25" customFormat="false" ht="15" hidden="false" customHeight="false" outlineLevel="0" collapsed="false">
      <c r="A25" s="4" t="n">
        <v>45724</v>
      </c>
      <c r="B25" s="5" t="s">
        <v>63</v>
      </c>
      <c r="C25" s="6" t="s">
        <v>64</v>
      </c>
      <c r="D25" s="6" t="s">
        <v>38</v>
      </c>
      <c r="E25" s="5" t="s">
        <v>19</v>
      </c>
      <c r="F25" s="5" t="s">
        <v>20</v>
      </c>
      <c r="G25" s="6" t="s">
        <v>27</v>
      </c>
      <c r="H25" s="5" t="n">
        <v>8</v>
      </c>
      <c r="I25" s="7" t="n">
        <v>10000</v>
      </c>
      <c r="J25" s="7" t="n">
        <v>7000</v>
      </c>
      <c r="K25" s="7" t="n">
        <f aca="false">H25*I25</f>
        <v>80000</v>
      </c>
      <c r="L25" s="7" t="n">
        <f aca="false">H25*J25</f>
        <v>56000</v>
      </c>
      <c r="M25" s="7" t="n">
        <f aca="false">K25-L25</f>
        <v>24000</v>
      </c>
      <c r="N25" s="5" t="str">
        <f aca="false">TEXT(A25,"mmm-yyyy")</f>
        <v>Mar-2025</v>
      </c>
    </row>
    <row r="26" customFormat="false" ht="15" hidden="false" customHeight="false" outlineLevel="0" collapsed="false">
      <c r="A26" s="8" t="n">
        <v>45724</v>
      </c>
      <c r="B26" s="9" t="s">
        <v>65</v>
      </c>
      <c r="C26" s="10" t="s">
        <v>64</v>
      </c>
      <c r="D26" s="10" t="s">
        <v>18</v>
      </c>
      <c r="E26" s="9" t="s">
        <v>19</v>
      </c>
      <c r="F26" s="9" t="s">
        <v>20</v>
      </c>
      <c r="G26" s="10" t="s">
        <v>45</v>
      </c>
      <c r="H26" s="9" t="n">
        <v>10</v>
      </c>
      <c r="I26" s="11" t="n">
        <v>45000</v>
      </c>
      <c r="J26" s="11" t="n">
        <v>38000</v>
      </c>
      <c r="K26" s="11" t="n">
        <f aca="false">H26*I26</f>
        <v>450000</v>
      </c>
      <c r="L26" s="11" t="n">
        <f aca="false">H26*J26</f>
        <v>380000</v>
      </c>
      <c r="M26" s="11" t="n">
        <f aca="false">K26-L26</f>
        <v>70000</v>
      </c>
      <c r="N26" s="9" t="str">
        <f aca="false">TEXT(A26,"mmm-yyyy")</f>
        <v>Mar-2025</v>
      </c>
    </row>
    <row r="27" customFormat="false" ht="15" hidden="false" customHeight="false" outlineLevel="0" collapsed="false">
      <c r="A27" s="4" t="n">
        <v>45727</v>
      </c>
      <c r="B27" s="5" t="s">
        <v>66</v>
      </c>
      <c r="C27" s="6" t="s">
        <v>54</v>
      </c>
      <c r="D27" s="6" t="s">
        <v>56</v>
      </c>
      <c r="E27" s="5" t="s">
        <v>25</v>
      </c>
      <c r="F27" s="5" t="s">
        <v>26</v>
      </c>
      <c r="G27" s="6" t="s">
        <v>42</v>
      </c>
      <c r="H27" s="5" t="n">
        <v>2</v>
      </c>
      <c r="I27" s="7" t="n">
        <v>780</v>
      </c>
      <c r="J27" s="7" t="n">
        <v>500</v>
      </c>
      <c r="K27" s="7" t="n">
        <f aca="false">H27*I27</f>
        <v>1560</v>
      </c>
      <c r="L27" s="7" t="n">
        <f aca="false">H27*J27</f>
        <v>1000</v>
      </c>
      <c r="M27" s="7" t="n">
        <f aca="false">K27-L27</f>
        <v>560</v>
      </c>
      <c r="N27" s="5" t="str">
        <f aca="false">TEXT(A27,"mmm-yyyy")</f>
        <v>Mar-2025</v>
      </c>
    </row>
    <row r="28" customFormat="false" ht="15" hidden="false" customHeight="false" outlineLevel="0" collapsed="false">
      <c r="A28" s="8" t="n">
        <v>45728</v>
      </c>
      <c r="B28" s="9" t="s">
        <v>67</v>
      </c>
      <c r="C28" s="10" t="s">
        <v>54</v>
      </c>
      <c r="D28" s="10" t="s">
        <v>38</v>
      </c>
      <c r="E28" s="9" t="s">
        <v>19</v>
      </c>
      <c r="F28" s="9" t="s">
        <v>20</v>
      </c>
      <c r="G28" s="10" t="s">
        <v>21</v>
      </c>
      <c r="H28" s="9" t="n">
        <v>9</v>
      </c>
      <c r="I28" s="11" t="n">
        <v>10000</v>
      </c>
      <c r="J28" s="11" t="n">
        <v>7000</v>
      </c>
      <c r="K28" s="11" t="n">
        <f aca="false">H28*I28</f>
        <v>90000</v>
      </c>
      <c r="L28" s="11" t="n">
        <f aca="false">H28*J28</f>
        <v>63000</v>
      </c>
      <c r="M28" s="11" t="n">
        <f aca="false">K28-L28</f>
        <v>27000</v>
      </c>
      <c r="N28" s="9" t="str">
        <f aca="false">TEXT(A28,"mmm-yyyy")</f>
        <v>Mar-2025</v>
      </c>
    </row>
    <row r="29" customFormat="false" ht="15" hidden="false" customHeight="false" outlineLevel="0" collapsed="false">
      <c r="A29" s="4" t="n">
        <v>45729</v>
      </c>
      <c r="B29" s="5" t="s">
        <v>68</v>
      </c>
      <c r="C29" s="6" t="s">
        <v>37</v>
      </c>
      <c r="D29" s="6" t="s">
        <v>69</v>
      </c>
      <c r="E29" s="5" t="s">
        <v>25</v>
      </c>
      <c r="F29" s="5" t="s">
        <v>20</v>
      </c>
      <c r="G29" s="6" t="s">
        <v>27</v>
      </c>
      <c r="H29" s="5" t="n">
        <v>9</v>
      </c>
      <c r="I29" s="7" t="n">
        <v>520</v>
      </c>
      <c r="J29" s="7" t="n">
        <v>300</v>
      </c>
      <c r="K29" s="7" t="n">
        <f aca="false">H29*I29</f>
        <v>4680</v>
      </c>
      <c r="L29" s="7" t="n">
        <f aca="false">H29*J29</f>
        <v>2700</v>
      </c>
      <c r="M29" s="7" t="n">
        <f aca="false">K29-L29</f>
        <v>1980</v>
      </c>
      <c r="N29" s="5" t="str">
        <f aca="false">TEXT(A29,"mmm-yyyy")</f>
        <v>Mar-2025</v>
      </c>
    </row>
    <row r="30" customFormat="false" ht="15" hidden="false" customHeight="false" outlineLevel="0" collapsed="false">
      <c r="A30" s="8" t="n">
        <v>45738</v>
      </c>
      <c r="B30" s="9" t="s">
        <v>70</v>
      </c>
      <c r="C30" s="10" t="s">
        <v>64</v>
      </c>
      <c r="D30" s="10" t="s">
        <v>69</v>
      </c>
      <c r="E30" s="9" t="s">
        <v>25</v>
      </c>
      <c r="F30" s="9" t="s">
        <v>26</v>
      </c>
      <c r="G30" s="10" t="s">
        <v>45</v>
      </c>
      <c r="H30" s="9" t="n">
        <v>6</v>
      </c>
      <c r="I30" s="11" t="n">
        <v>500</v>
      </c>
      <c r="J30" s="11" t="n">
        <v>300</v>
      </c>
      <c r="K30" s="11" t="n">
        <f aca="false">H30*I30</f>
        <v>3000</v>
      </c>
      <c r="L30" s="11" t="n">
        <f aca="false">H30*J30</f>
        <v>1800</v>
      </c>
      <c r="M30" s="11" t="n">
        <f aca="false">K30-L30</f>
        <v>1200</v>
      </c>
      <c r="N30" s="9" t="str">
        <f aca="false">TEXT(A30,"mmm-yyyy")</f>
        <v>Mar-2025</v>
      </c>
    </row>
    <row r="31" customFormat="false" ht="15" hidden="false" customHeight="false" outlineLevel="0" collapsed="false">
      <c r="A31" s="4" t="n">
        <v>45748</v>
      </c>
      <c r="B31" s="5" t="s">
        <v>71</v>
      </c>
      <c r="C31" s="6" t="s">
        <v>30</v>
      </c>
      <c r="D31" s="6" t="s">
        <v>69</v>
      </c>
      <c r="E31" s="5" t="s">
        <v>25</v>
      </c>
      <c r="F31" s="5" t="s">
        <v>20</v>
      </c>
      <c r="G31" s="6" t="s">
        <v>27</v>
      </c>
      <c r="H31" s="5" t="n">
        <v>10</v>
      </c>
      <c r="I31" s="7" t="n">
        <v>500</v>
      </c>
      <c r="J31" s="7" t="n">
        <v>300</v>
      </c>
      <c r="K31" s="7" t="n">
        <f aca="false">H31*I31</f>
        <v>5000</v>
      </c>
      <c r="L31" s="7" t="n">
        <f aca="false">H31*J31</f>
        <v>3000</v>
      </c>
      <c r="M31" s="7" t="n">
        <f aca="false">K31-L31</f>
        <v>2000</v>
      </c>
      <c r="N31" s="5" t="str">
        <f aca="false">TEXT(A31,"mmm-yyyy")</f>
        <v>Apr-2025</v>
      </c>
    </row>
    <row r="32" customFormat="false" ht="15" hidden="false" customHeight="false" outlineLevel="0" collapsed="false">
      <c r="A32" s="8" t="n">
        <v>45750</v>
      </c>
      <c r="B32" s="9" t="s">
        <v>72</v>
      </c>
      <c r="C32" s="10" t="s">
        <v>73</v>
      </c>
      <c r="D32" s="10" t="s">
        <v>69</v>
      </c>
      <c r="E32" s="9" t="s">
        <v>25</v>
      </c>
      <c r="F32" s="9" t="s">
        <v>35</v>
      </c>
      <c r="G32" s="10" t="s">
        <v>32</v>
      </c>
      <c r="H32" s="9" t="n">
        <v>5</v>
      </c>
      <c r="I32" s="11" t="n">
        <v>500</v>
      </c>
      <c r="J32" s="11" t="n">
        <v>300</v>
      </c>
      <c r="K32" s="11" t="n">
        <f aca="false">H32*I32</f>
        <v>2500</v>
      </c>
      <c r="L32" s="11" t="n">
        <f aca="false">H32*J32</f>
        <v>1500</v>
      </c>
      <c r="M32" s="11" t="n">
        <f aca="false">K32-L32</f>
        <v>1000</v>
      </c>
      <c r="N32" s="9" t="str">
        <f aca="false">TEXT(A32,"mmm-yyyy")</f>
        <v>Apr-2025</v>
      </c>
    </row>
    <row r="33" customFormat="false" ht="15" hidden="false" customHeight="false" outlineLevel="0" collapsed="false">
      <c r="A33" s="4" t="n">
        <v>45753</v>
      </c>
      <c r="B33" s="5" t="s">
        <v>74</v>
      </c>
      <c r="C33" s="6" t="s">
        <v>40</v>
      </c>
      <c r="D33" s="6" t="s">
        <v>41</v>
      </c>
      <c r="E33" s="5" t="s">
        <v>19</v>
      </c>
      <c r="F33" s="5" t="s">
        <v>31</v>
      </c>
      <c r="G33" s="6" t="s">
        <v>21</v>
      </c>
      <c r="H33" s="5" t="n">
        <v>10</v>
      </c>
      <c r="I33" s="7" t="n">
        <v>13000</v>
      </c>
      <c r="J33" s="7" t="n">
        <v>9500</v>
      </c>
      <c r="K33" s="7" t="n">
        <f aca="false">H33*I33</f>
        <v>130000</v>
      </c>
      <c r="L33" s="7" t="n">
        <f aca="false">H33*J33</f>
        <v>95000</v>
      </c>
      <c r="M33" s="7" t="n">
        <f aca="false">K33-L33</f>
        <v>35000</v>
      </c>
      <c r="N33" s="5" t="str">
        <f aca="false">TEXT(A33,"mmm-yyyy")</f>
        <v>Apr-2025</v>
      </c>
    </row>
    <row r="34" customFormat="false" ht="15" hidden="false" customHeight="false" outlineLevel="0" collapsed="false">
      <c r="A34" s="8" t="n">
        <v>45764</v>
      </c>
      <c r="B34" s="9" t="s">
        <v>75</v>
      </c>
      <c r="C34" s="10" t="s">
        <v>30</v>
      </c>
      <c r="D34" s="10" t="s">
        <v>56</v>
      </c>
      <c r="E34" s="9" t="s">
        <v>25</v>
      </c>
      <c r="F34" s="9" t="s">
        <v>20</v>
      </c>
      <c r="G34" s="10" t="s">
        <v>42</v>
      </c>
      <c r="H34" s="9" t="n">
        <v>4</v>
      </c>
      <c r="I34" s="11" t="n">
        <v>780</v>
      </c>
      <c r="J34" s="11" t="n">
        <v>500</v>
      </c>
      <c r="K34" s="11" t="n">
        <f aca="false">H34*I34</f>
        <v>3120</v>
      </c>
      <c r="L34" s="11" t="n">
        <f aca="false">H34*J34</f>
        <v>2000</v>
      </c>
      <c r="M34" s="11" t="n">
        <f aca="false">K34-L34</f>
        <v>1120</v>
      </c>
      <c r="N34" s="9" t="str">
        <f aca="false">TEXT(A34,"mmm-yyyy")</f>
        <v>Apr-2025</v>
      </c>
    </row>
    <row r="35" customFormat="false" ht="15" hidden="false" customHeight="false" outlineLevel="0" collapsed="false">
      <c r="A35" s="4" t="n">
        <v>45765</v>
      </c>
      <c r="B35" s="5" t="s">
        <v>76</v>
      </c>
      <c r="C35" s="6" t="s">
        <v>23</v>
      </c>
      <c r="D35" s="6" t="s">
        <v>38</v>
      </c>
      <c r="E35" s="5" t="s">
        <v>19</v>
      </c>
      <c r="F35" s="5" t="s">
        <v>31</v>
      </c>
      <c r="G35" s="6" t="s">
        <v>45</v>
      </c>
      <c r="H35" s="5" t="n">
        <v>10</v>
      </c>
      <c r="I35" s="7" t="n">
        <v>10000</v>
      </c>
      <c r="J35" s="7" t="n">
        <v>7000</v>
      </c>
      <c r="K35" s="7" t="n">
        <f aca="false">H35*I35</f>
        <v>100000</v>
      </c>
      <c r="L35" s="7" t="n">
        <f aca="false">H35*J35</f>
        <v>70000</v>
      </c>
      <c r="M35" s="7" t="n">
        <f aca="false">K35-L35</f>
        <v>30000</v>
      </c>
      <c r="N35" s="5" t="str">
        <f aca="false">TEXT(A35,"mmm-yyyy")</f>
        <v>Apr-2025</v>
      </c>
    </row>
    <row r="36" customFormat="false" ht="15" hidden="false" customHeight="false" outlineLevel="0" collapsed="false">
      <c r="A36" s="8" t="n">
        <v>45770</v>
      </c>
      <c r="B36" s="9" t="s">
        <v>77</v>
      </c>
      <c r="C36" s="10" t="s">
        <v>64</v>
      </c>
      <c r="D36" s="10" t="s">
        <v>24</v>
      </c>
      <c r="E36" s="9" t="s">
        <v>25</v>
      </c>
      <c r="F36" s="9" t="s">
        <v>20</v>
      </c>
      <c r="G36" s="10" t="s">
        <v>42</v>
      </c>
      <c r="H36" s="9" t="n">
        <v>4</v>
      </c>
      <c r="I36" s="11" t="n">
        <v>1480</v>
      </c>
      <c r="J36" s="11" t="n">
        <v>1000</v>
      </c>
      <c r="K36" s="11" t="n">
        <f aca="false">H36*I36</f>
        <v>5920</v>
      </c>
      <c r="L36" s="11" t="n">
        <f aca="false">H36*J36</f>
        <v>4000</v>
      </c>
      <c r="M36" s="11" t="n">
        <f aca="false">K36-L36</f>
        <v>1920</v>
      </c>
      <c r="N36" s="9" t="str">
        <f aca="false">TEXT(A36,"mmm-yyyy")</f>
        <v>Apr-2025</v>
      </c>
    </row>
    <row r="37" customFormat="false" ht="15" hidden="false" customHeight="false" outlineLevel="0" collapsed="false">
      <c r="A37" s="4" t="n">
        <v>45772</v>
      </c>
      <c r="B37" s="5" t="s">
        <v>78</v>
      </c>
      <c r="C37" s="6" t="s">
        <v>40</v>
      </c>
      <c r="D37" s="6" t="s">
        <v>24</v>
      </c>
      <c r="E37" s="5" t="s">
        <v>25</v>
      </c>
      <c r="F37" s="5" t="s">
        <v>26</v>
      </c>
      <c r="G37" s="6" t="s">
        <v>45</v>
      </c>
      <c r="H37" s="5" t="n">
        <v>5</v>
      </c>
      <c r="I37" s="7" t="n">
        <v>1500</v>
      </c>
      <c r="J37" s="7" t="n">
        <v>1000</v>
      </c>
      <c r="K37" s="7" t="n">
        <f aca="false">H37*I37</f>
        <v>7500</v>
      </c>
      <c r="L37" s="7" t="n">
        <f aca="false">H37*J37</f>
        <v>5000</v>
      </c>
      <c r="M37" s="7" t="n">
        <f aca="false">K37-L37</f>
        <v>2500</v>
      </c>
      <c r="N37" s="5" t="str">
        <f aca="false">TEXT(A37,"mmm-yyyy")</f>
        <v>Apr-2025</v>
      </c>
    </row>
    <row r="38" customFormat="false" ht="15" hidden="false" customHeight="false" outlineLevel="0" collapsed="false">
      <c r="A38" s="8" t="n">
        <v>45774</v>
      </c>
      <c r="B38" s="9" t="s">
        <v>79</v>
      </c>
      <c r="C38" s="10" t="s">
        <v>52</v>
      </c>
      <c r="D38" s="10" t="s">
        <v>18</v>
      </c>
      <c r="E38" s="9" t="s">
        <v>19</v>
      </c>
      <c r="F38" s="9" t="s">
        <v>35</v>
      </c>
      <c r="G38" s="10" t="s">
        <v>21</v>
      </c>
      <c r="H38" s="9" t="n">
        <v>3</v>
      </c>
      <c r="I38" s="11" t="n">
        <v>46000</v>
      </c>
      <c r="J38" s="11" t="n">
        <v>38000</v>
      </c>
      <c r="K38" s="11" t="n">
        <f aca="false">H38*I38</f>
        <v>138000</v>
      </c>
      <c r="L38" s="11" t="n">
        <f aca="false">H38*J38</f>
        <v>114000</v>
      </c>
      <c r="M38" s="11" t="n">
        <f aca="false">K38-L38</f>
        <v>24000</v>
      </c>
      <c r="N38" s="9" t="str">
        <f aca="false">TEXT(A38,"mmm-yyyy")</f>
        <v>Apr-2025</v>
      </c>
    </row>
    <row r="39" customFormat="false" ht="15" hidden="false" customHeight="false" outlineLevel="0" collapsed="false">
      <c r="A39" s="4" t="n">
        <v>45785</v>
      </c>
      <c r="B39" s="5" t="s">
        <v>80</v>
      </c>
      <c r="C39" s="6" t="s">
        <v>64</v>
      </c>
      <c r="D39" s="6" t="s">
        <v>18</v>
      </c>
      <c r="E39" s="5" t="s">
        <v>19</v>
      </c>
      <c r="F39" s="5" t="s">
        <v>20</v>
      </c>
      <c r="G39" s="6" t="s">
        <v>21</v>
      </c>
      <c r="H39" s="5" t="n">
        <v>9</v>
      </c>
      <c r="I39" s="7" t="n">
        <v>45500</v>
      </c>
      <c r="J39" s="7" t="n">
        <v>38000</v>
      </c>
      <c r="K39" s="7" t="n">
        <f aca="false">H39*I39</f>
        <v>409500</v>
      </c>
      <c r="L39" s="7" t="n">
        <f aca="false">H39*J39</f>
        <v>342000</v>
      </c>
      <c r="M39" s="7" t="n">
        <f aca="false">K39-L39</f>
        <v>67500</v>
      </c>
      <c r="N39" s="5" t="str">
        <f aca="false">TEXT(A39,"mmm-yyyy")</f>
        <v>May-2025</v>
      </c>
    </row>
    <row r="40" customFormat="false" ht="15" hidden="false" customHeight="false" outlineLevel="0" collapsed="false">
      <c r="A40" s="8" t="n">
        <v>45790</v>
      </c>
      <c r="B40" s="9" t="s">
        <v>81</v>
      </c>
      <c r="C40" s="10" t="s">
        <v>30</v>
      </c>
      <c r="D40" s="10" t="s">
        <v>24</v>
      </c>
      <c r="E40" s="9" t="s">
        <v>25</v>
      </c>
      <c r="F40" s="9" t="s">
        <v>31</v>
      </c>
      <c r="G40" s="10" t="s">
        <v>32</v>
      </c>
      <c r="H40" s="9" t="n">
        <v>2</v>
      </c>
      <c r="I40" s="11" t="n">
        <v>1500</v>
      </c>
      <c r="J40" s="11" t="n">
        <v>1000</v>
      </c>
      <c r="K40" s="11" t="n">
        <f aca="false">H40*I40</f>
        <v>3000</v>
      </c>
      <c r="L40" s="11" t="n">
        <f aca="false">H40*J40</f>
        <v>2000</v>
      </c>
      <c r="M40" s="11" t="n">
        <f aca="false">K40-L40</f>
        <v>1000</v>
      </c>
      <c r="N40" s="9" t="str">
        <f aca="false">TEXT(A40,"mmm-yyyy")</f>
        <v>May-2025</v>
      </c>
    </row>
    <row r="41" customFormat="false" ht="15" hidden="false" customHeight="false" outlineLevel="0" collapsed="false">
      <c r="A41" s="4" t="n">
        <v>45790</v>
      </c>
      <c r="B41" s="5" t="s">
        <v>82</v>
      </c>
      <c r="C41" s="6" t="s">
        <v>40</v>
      </c>
      <c r="D41" s="6" t="s">
        <v>41</v>
      </c>
      <c r="E41" s="5" t="s">
        <v>19</v>
      </c>
      <c r="F41" s="5" t="s">
        <v>35</v>
      </c>
      <c r="G41" s="6" t="s">
        <v>32</v>
      </c>
      <c r="H41" s="5" t="n">
        <v>5</v>
      </c>
      <c r="I41" s="7" t="n">
        <v>12500</v>
      </c>
      <c r="J41" s="7" t="n">
        <v>9500</v>
      </c>
      <c r="K41" s="7" t="n">
        <f aca="false">H41*I41</f>
        <v>62500</v>
      </c>
      <c r="L41" s="7" t="n">
        <f aca="false">H41*J41</f>
        <v>47500</v>
      </c>
      <c r="M41" s="7" t="n">
        <f aca="false">K41-L41</f>
        <v>15000</v>
      </c>
      <c r="N41" s="5" t="str">
        <f aca="false">TEXT(A41,"mmm-yyyy")</f>
        <v>May-2025</v>
      </c>
    </row>
    <row r="42" customFormat="false" ht="15" hidden="false" customHeight="false" outlineLevel="0" collapsed="false">
      <c r="A42" s="8" t="n">
        <v>45791</v>
      </c>
      <c r="B42" s="9" t="s">
        <v>83</v>
      </c>
      <c r="C42" s="10" t="s">
        <v>73</v>
      </c>
      <c r="D42" s="10" t="s">
        <v>56</v>
      </c>
      <c r="E42" s="9" t="s">
        <v>25</v>
      </c>
      <c r="F42" s="9" t="s">
        <v>20</v>
      </c>
      <c r="G42" s="10" t="s">
        <v>27</v>
      </c>
      <c r="H42" s="9" t="n">
        <v>1</v>
      </c>
      <c r="I42" s="11" t="n">
        <v>820</v>
      </c>
      <c r="J42" s="11" t="n">
        <v>500</v>
      </c>
      <c r="K42" s="11" t="n">
        <f aca="false">H42*I42</f>
        <v>820</v>
      </c>
      <c r="L42" s="11" t="n">
        <f aca="false">H42*J42</f>
        <v>500</v>
      </c>
      <c r="M42" s="11" t="n">
        <f aca="false">K42-L42</f>
        <v>320</v>
      </c>
      <c r="N42" s="9" t="str">
        <f aca="false">TEXT(A42,"mmm-yyyy")</f>
        <v>May-2025</v>
      </c>
    </row>
    <row r="43" customFormat="false" ht="15" hidden="false" customHeight="false" outlineLevel="0" collapsed="false">
      <c r="A43" s="4" t="n">
        <v>45793</v>
      </c>
      <c r="B43" s="5" t="s">
        <v>84</v>
      </c>
      <c r="C43" s="6" t="s">
        <v>52</v>
      </c>
      <c r="D43" s="6" t="s">
        <v>38</v>
      </c>
      <c r="E43" s="5" t="s">
        <v>19</v>
      </c>
      <c r="F43" s="5" t="s">
        <v>35</v>
      </c>
      <c r="G43" s="6" t="s">
        <v>27</v>
      </c>
      <c r="H43" s="5" t="n">
        <v>1</v>
      </c>
      <c r="I43" s="7" t="n">
        <v>9500</v>
      </c>
      <c r="J43" s="7" t="n">
        <v>7000</v>
      </c>
      <c r="K43" s="7" t="n">
        <f aca="false">H43*I43</f>
        <v>9500</v>
      </c>
      <c r="L43" s="7" t="n">
        <f aca="false">H43*J43</f>
        <v>7000</v>
      </c>
      <c r="M43" s="7" t="n">
        <f aca="false">K43-L43</f>
        <v>2500</v>
      </c>
      <c r="N43" s="5" t="str">
        <f aca="false">TEXT(A43,"mmm-yyyy")</f>
        <v>May-2025</v>
      </c>
    </row>
    <row r="44" customFormat="false" ht="15" hidden="false" customHeight="false" outlineLevel="0" collapsed="false">
      <c r="A44" s="8" t="n">
        <v>45795</v>
      </c>
      <c r="B44" s="9" t="s">
        <v>85</v>
      </c>
      <c r="C44" s="10" t="s">
        <v>52</v>
      </c>
      <c r="D44" s="10" t="s">
        <v>56</v>
      </c>
      <c r="E44" s="9" t="s">
        <v>25</v>
      </c>
      <c r="F44" s="9" t="s">
        <v>26</v>
      </c>
      <c r="G44" s="10" t="s">
        <v>45</v>
      </c>
      <c r="H44" s="9" t="n">
        <v>7</v>
      </c>
      <c r="I44" s="11" t="n">
        <v>800</v>
      </c>
      <c r="J44" s="11" t="n">
        <v>500</v>
      </c>
      <c r="K44" s="11" t="n">
        <f aca="false">H44*I44</f>
        <v>5600</v>
      </c>
      <c r="L44" s="11" t="n">
        <f aca="false">H44*J44</f>
        <v>3500</v>
      </c>
      <c r="M44" s="11" t="n">
        <f aca="false">K44-L44</f>
        <v>2100</v>
      </c>
      <c r="N44" s="9" t="str">
        <f aca="false">TEXT(A44,"mmm-yyyy")</f>
        <v>May-2025</v>
      </c>
    </row>
    <row r="45" customFormat="false" ht="15" hidden="false" customHeight="false" outlineLevel="0" collapsed="false">
      <c r="A45" s="4" t="n">
        <v>45803</v>
      </c>
      <c r="B45" s="5" t="s">
        <v>86</v>
      </c>
      <c r="C45" s="6" t="s">
        <v>64</v>
      </c>
      <c r="D45" s="6" t="s">
        <v>56</v>
      </c>
      <c r="E45" s="5" t="s">
        <v>25</v>
      </c>
      <c r="F45" s="5" t="s">
        <v>35</v>
      </c>
      <c r="G45" s="6" t="s">
        <v>42</v>
      </c>
      <c r="H45" s="5" t="n">
        <v>2</v>
      </c>
      <c r="I45" s="7" t="n">
        <v>800</v>
      </c>
      <c r="J45" s="7" t="n">
        <v>500</v>
      </c>
      <c r="K45" s="7" t="n">
        <f aca="false">H45*I45</f>
        <v>1600</v>
      </c>
      <c r="L45" s="7" t="n">
        <f aca="false">H45*J45</f>
        <v>1000</v>
      </c>
      <c r="M45" s="7" t="n">
        <f aca="false">K45-L45</f>
        <v>600</v>
      </c>
      <c r="N45" s="5" t="str">
        <f aca="false">TEXT(A45,"mmm-yyyy")</f>
        <v>May-2025</v>
      </c>
    </row>
    <row r="46" customFormat="false" ht="15" hidden="false" customHeight="false" outlineLevel="0" collapsed="false">
      <c r="A46" s="8" t="n">
        <v>45804</v>
      </c>
      <c r="B46" s="9" t="s">
        <v>87</v>
      </c>
      <c r="C46" s="10" t="s">
        <v>52</v>
      </c>
      <c r="D46" s="10" t="s">
        <v>18</v>
      </c>
      <c r="E46" s="9" t="s">
        <v>19</v>
      </c>
      <c r="F46" s="9" t="s">
        <v>35</v>
      </c>
      <c r="G46" s="10" t="s">
        <v>45</v>
      </c>
      <c r="H46" s="9" t="n">
        <v>4</v>
      </c>
      <c r="I46" s="11" t="n">
        <v>44500</v>
      </c>
      <c r="J46" s="11" t="n">
        <v>38000</v>
      </c>
      <c r="K46" s="11" t="n">
        <f aca="false">H46*I46</f>
        <v>178000</v>
      </c>
      <c r="L46" s="11" t="n">
        <f aca="false">H46*J46</f>
        <v>152000</v>
      </c>
      <c r="M46" s="11" t="n">
        <f aca="false">K46-L46</f>
        <v>26000</v>
      </c>
      <c r="N46" s="9" t="str">
        <f aca="false">TEXT(A46,"mmm-yyyy")</f>
        <v>May-2025</v>
      </c>
    </row>
    <row r="47" customFormat="false" ht="15" hidden="false" customHeight="false" outlineLevel="0" collapsed="false">
      <c r="A47" s="4" t="n">
        <v>45809</v>
      </c>
      <c r="B47" s="5" t="s">
        <v>88</v>
      </c>
      <c r="C47" s="6" t="s">
        <v>17</v>
      </c>
      <c r="D47" s="6" t="s">
        <v>56</v>
      </c>
      <c r="E47" s="5" t="s">
        <v>25</v>
      </c>
      <c r="F47" s="5" t="s">
        <v>31</v>
      </c>
      <c r="G47" s="6" t="s">
        <v>21</v>
      </c>
      <c r="H47" s="5" t="n">
        <v>2</v>
      </c>
      <c r="I47" s="7" t="n">
        <v>780</v>
      </c>
      <c r="J47" s="7" t="n">
        <v>500</v>
      </c>
      <c r="K47" s="7" t="n">
        <f aca="false">H47*I47</f>
        <v>1560</v>
      </c>
      <c r="L47" s="7" t="n">
        <f aca="false">H47*J47</f>
        <v>1000</v>
      </c>
      <c r="M47" s="7" t="n">
        <f aca="false">K47-L47</f>
        <v>560</v>
      </c>
      <c r="N47" s="5" t="str">
        <f aca="false">TEXT(A47,"mmm-yyyy")</f>
        <v>Jun-2025</v>
      </c>
    </row>
    <row r="48" customFormat="false" ht="15" hidden="false" customHeight="false" outlineLevel="0" collapsed="false">
      <c r="A48" s="8" t="n">
        <v>45810</v>
      </c>
      <c r="B48" s="9" t="s">
        <v>89</v>
      </c>
      <c r="C48" s="10" t="s">
        <v>17</v>
      </c>
      <c r="D48" s="10" t="s">
        <v>18</v>
      </c>
      <c r="E48" s="9" t="s">
        <v>19</v>
      </c>
      <c r="F48" s="9" t="s">
        <v>31</v>
      </c>
      <c r="G48" s="10" t="s">
        <v>27</v>
      </c>
      <c r="H48" s="9" t="n">
        <v>8</v>
      </c>
      <c r="I48" s="11" t="n">
        <v>46000</v>
      </c>
      <c r="J48" s="11" t="n">
        <v>38000</v>
      </c>
      <c r="K48" s="11" t="n">
        <f aca="false">H48*I48</f>
        <v>368000</v>
      </c>
      <c r="L48" s="11" t="n">
        <f aca="false">H48*J48</f>
        <v>304000</v>
      </c>
      <c r="M48" s="11" t="n">
        <f aca="false">K48-L48</f>
        <v>64000</v>
      </c>
      <c r="N48" s="9" t="str">
        <f aca="false">TEXT(A48,"mmm-yyyy")</f>
        <v>Jun-2025</v>
      </c>
    </row>
    <row r="49" customFormat="false" ht="15" hidden="false" customHeight="false" outlineLevel="0" collapsed="false">
      <c r="A49" s="4" t="n">
        <v>45811</v>
      </c>
      <c r="B49" s="5" t="s">
        <v>90</v>
      </c>
      <c r="C49" s="6" t="s">
        <v>30</v>
      </c>
      <c r="D49" s="6" t="s">
        <v>56</v>
      </c>
      <c r="E49" s="5" t="s">
        <v>25</v>
      </c>
      <c r="F49" s="5" t="s">
        <v>26</v>
      </c>
      <c r="G49" s="6" t="s">
        <v>32</v>
      </c>
      <c r="H49" s="5" t="n">
        <v>5</v>
      </c>
      <c r="I49" s="7" t="n">
        <v>800</v>
      </c>
      <c r="J49" s="7" t="n">
        <v>500</v>
      </c>
      <c r="K49" s="7" t="n">
        <f aca="false">H49*I49</f>
        <v>4000</v>
      </c>
      <c r="L49" s="7" t="n">
        <f aca="false">H49*J49</f>
        <v>2500</v>
      </c>
      <c r="M49" s="7" t="n">
        <f aca="false">K49-L49</f>
        <v>1500</v>
      </c>
      <c r="N49" s="5" t="str">
        <f aca="false">TEXT(A49,"mmm-yyyy")</f>
        <v>Jun-2025</v>
      </c>
    </row>
    <row r="50" customFormat="false" ht="15" hidden="false" customHeight="false" outlineLevel="0" collapsed="false">
      <c r="A50" s="8" t="n">
        <v>45815</v>
      </c>
      <c r="B50" s="9" t="s">
        <v>91</v>
      </c>
      <c r="C50" s="10" t="s">
        <v>34</v>
      </c>
      <c r="D50" s="10" t="s">
        <v>41</v>
      </c>
      <c r="E50" s="9" t="s">
        <v>19</v>
      </c>
      <c r="F50" s="9" t="s">
        <v>20</v>
      </c>
      <c r="G50" s="10" t="s">
        <v>42</v>
      </c>
      <c r="H50" s="9" t="n">
        <v>1</v>
      </c>
      <c r="I50" s="11" t="n">
        <v>12000</v>
      </c>
      <c r="J50" s="11" t="n">
        <v>9500</v>
      </c>
      <c r="K50" s="11" t="n">
        <f aca="false">H50*I50</f>
        <v>12000</v>
      </c>
      <c r="L50" s="11" t="n">
        <f aca="false">H50*J50</f>
        <v>9500</v>
      </c>
      <c r="M50" s="11" t="n">
        <f aca="false">K50-L50</f>
        <v>2500</v>
      </c>
      <c r="N50" s="9" t="str">
        <f aca="false">TEXT(A50,"mmm-yyyy")</f>
        <v>Jun-2025</v>
      </c>
    </row>
    <row r="51" customFormat="false" ht="15" hidden="false" customHeight="false" outlineLevel="0" collapsed="false">
      <c r="A51" s="4" t="n">
        <v>45817</v>
      </c>
      <c r="B51" s="5" t="s">
        <v>92</v>
      </c>
      <c r="C51" s="6" t="s">
        <v>23</v>
      </c>
      <c r="D51" s="6" t="s">
        <v>56</v>
      </c>
      <c r="E51" s="5" t="s">
        <v>25</v>
      </c>
      <c r="F51" s="5" t="s">
        <v>26</v>
      </c>
      <c r="G51" s="6" t="s">
        <v>27</v>
      </c>
      <c r="H51" s="5" t="n">
        <v>5</v>
      </c>
      <c r="I51" s="7" t="n">
        <v>800</v>
      </c>
      <c r="J51" s="7" t="n">
        <v>500</v>
      </c>
      <c r="K51" s="7" t="n">
        <f aca="false">H51*I51</f>
        <v>4000</v>
      </c>
      <c r="L51" s="7" t="n">
        <f aca="false">H51*J51</f>
        <v>2500</v>
      </c>
      <c r="M51" s="7" t="n">
        <f aca="false">K51-L51</f>
        <v>1500</v>
      </c>
      <c r="N51" s="5" t="str">
        <f aca="false">TEXT(A51,"mmm-yyyy")</f>
        <v>Jun-2025</v>
      </c>
    </row>
    <row r="52" customFormat="false" ht="15" hidden="false" customHeight="false" outlineLevel="0" collapsed="false">
      <c r="A52" s="8" t="n">
        <v>45817</v>
      </c>
      <c r="B52" s="9" t="s">
        <v>93</v>
      </c>
      <c r="C52" s="10" t="s">
        <v>54</v>
      </c>
      <c r="D52" s="10" t="s">
        <v>38</v>
      </c>
      <c r="E52" s="9" t="s">
        <v>19</v>
      </c>
      <c r="F52" s="9" t="s">
        <v>31</v>
      </c>
      <c r="G52" s="10" t="s">
        <v>42</v>
      </c>
      <c r="H52" s="9" t="n">
        <v>2</v>
      </c>
      <c r="I52" s="11" t="n">
        <v>9000</v>
      </c>
      <c r="J52" s="11" t="n">
        <v>7000</v>
      </c>
      <c r="K52" s="11" t="n">
        <f aca="false">H52*I52</f>
        <v>18000</v>
      </c>
      <c r="L52" s="11" t="n">
        <f aca="false">H52*J52</f>
        <v>14000</v>
      </c>
      <c r="M52" s="11" t="n">
        <f aca="false">K52-L52</f>
        <v>4000</v>
      </c>
      <c r="N52" s="9" t="str">
        <f aca="false">TEXT(A52,"mmm-yyyy")</f>
        <v>Jun-2025</v>
      </c>
    </row>
    <row r="53" customFormat="false" ht="15" hidden="false" customHeight="false" outlineLevel="0" collapsed="false">
      <c r="A53" s="4" t="n">
        <v>45821</v>
      </c>
      <c r="B53" s="5" t="s">
        <v>94</v>
      </c>
      <c r="C53" s="6" t="s">
        <v>34</v>
      </c>
      <c r="D53" s="6" t="s">
        <v>18</v>
      </c>
      <c r="E53" s="5" t="s">
        <v>19</v>
      </c>
      <c r="F53" s="5" t="s">
        <v>20</v>
      </c>
      <c r="G53" s="6" t="s">
        <v>21</v>
      </c>
      <c r="H53" s="5" t="n">
        <v>4</v>
      </c>
      <c r="I53" s="7" t="n">
        <v>46000</v>
      </c>
      <c r="J53" s="7" t="n">
        <v>38000</v>
      </c>
      <c r="K53" s="7" t="n">
        <f aca="false">H53*I53</f>
        <v>184000</v>
      </c>
      <c r="L53" s="7" t="n">
        <f aca="false">H53*J53</f>
        <v>152000</v>
      </c>
      <c r="M53" s="7" t="n">
        <f aca="false">K53-L53</f>
        <v>32000</v>
      </c>
      <c r="N53" s="5" t="str">
        <f aca="false">TEXT(A53,"mmm-yyyy")</f>
        <v>Jun-2025</v>
      </c>
    </row>
    <row r="54" customFormat="false" ht="15" hidden="false" customHeight="false" outlineLevel="0" collapsed="false">
      <c r="A54" s="8" t="n">
        <v>45825</v>
      </c>
      <c r="B54" s="9" t="s">
        <v>95</v>
      </c>
      <c r="C54" s="10" t="s">
        <v>34</v>
      </c>
      <c r="D54" s="10" t="s">
        <v>18</v>
      </c>
      <c r="E54" s="9" t="s">
        <v>19</v>
      </c>
      <c r="F54" s="9" t="s">
        <v>20</v>
      </c>
      <c r="G54" s="10" t="s">
        <v>32</v>
      </c>
      <c r="H54" s="9" t="n">
        <v>2</v>
      </c>
      <c r="I54" s="11" t="n">
        <v>45000</v>
      </c>
      <c r="J54" s="11" t="n">
        <v>38000</v>
      </c>
      <c r="K54" s="11" t="n">
        <f aca="false">H54*I54</f>
        <v>90000</v>
      </c>
      <c r="L54" s="11" t="n">
        <f aca="false">H54*J54</f>
        <v>76000</v>
      </c>
      <c r="M54" s="11" t="n">
        <f aca="false">K54-L54</f>
        <v>14000</v>
      </c>
      <c r="N54" s="9" t="str">
        <f aca="false">TEXT(A54,"mmm-yyyy")</f>
        <v>Jun-2025</v>
      </c>
    </row>
    <row r="56" customFormat="false" ht="15" hidden="false" customHeight="false" outlineLevel="0" collapsed="false">
      <c r="A56" s="12" t="s">
        <v>96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customFormat="false" ht="15" hidden="false" customHeight="false" outlineLevel="0" collapsed="false">
      <c r="A57" s="13" t="s">
        <v>97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customFormat="false" ht="15" hidden="false" customHeight="false" outlineLevel="0" collapsed="false">
      <c r="A58" s="13" t="s">
        <v>98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customFormat="false" ht="15" hidden="false" customHeight="false" outlineLevel="0" collapsed="false">
      <c r="A59" s="13" t="s">
        <v>99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customFormat="false" ht="15" hidden="false" customHeight="false" outlineLevel="0" collapsed="false">
      <c r="A60" s="13" t="s">
        <v>100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</row>
  </sheetData>
  <mergeCells count="7">
    <mergeCell ref="A1:N1"/>
    <mergeCell ref="A2:N2"/>
    <mergeCell ref="A56:N56"/>
    <mergeCell ref="A57:N57"/>
    <mergeCell ref="A58:N58"/>
    <mergeCell ref="A59:N59"/>
    <mergeCell ref="A60:N60"/>
  </mergeCells>
  <conditionalFormatting sqref="M5:M54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5" min="3" style="0" width="15"/>
  </cols>
  <sheetData>
    <row r="1" customFormat="false" ht="30" hidden="false" customHeight="true" outlineLevel="0" collapsed="false">
      <c r="A1" s="1" t="s">
        <v>101</v>
      </c>
      <c r="B1" s="1"/>
      <c r="C1" s="1"/>
      <c r="D1" s="1"/>
    </row>
    <row r="3" customFormat="false" ht="15" hidden="false" customHeight="false" outlineLevel="0" collapsed="false">
      <c r="A3" s="14" t="s">
        <v>102</v>
      </c>
    </row>
    <row r="4" customFormat="false" ht="15" hidden="false" customHeight="false" outlineLevel="0" collapsed="false">
      <c r="A4" s="15" t="s">
        <v>5</v>
      </c>
      <c r="B4" s="15" t="s">
        <v>103</v>
      </c>
      <c r="C4" s="15" t="s">
        <v>104</v>
      </c>
      <c r="D4" s="15" t="s">
        <v>12</v>
      </c>
      <c r="E4" s="15" t="s">
        <v>14</v>
      </c>
    </row>
    <row r="5" customFormat="false" ht="15" hidden="false" customHeight="false" outlineLevel="0" collapsed="false">
      <c r="A5" s="16" t="s">
        <v>18</v>
      </c>
      <c r="B5" s="17" t="n">
        <f aca="false">COUNTIF('Sales Data'!D5:D54,A5)</f>
        <v>11</v>
      </c>
      <c r="C5" s="17" t="n">
        <f aca="false">SUMIFS('Sales Data'!H5:H54,'Sales Data'!D5:D54,A5)</f>
        <v>53</v>
      </c>
      <c r="D5" s="18" t="n">
        <f aca="false">SUMIFS('Sales Data'!K5:K54,'Sales Data'!D5:D54,A5)</f>
        <v>2403000</v>
      </c>
      <c r="E5" s="18" t="n">
        <f aca="false">SUMIFS('Sales Data'!M5:M54,'Sales Data'!D5:D54,A5)</f>
        <v>389000</v>
      </c>
    </row>
    <row r="6" customFormat="false" ht="15" hidden="false" customHeight="false" outlineLevel="0" collapsed="false">
      <c r="A6" s="6" t="s">
        <v>38</v>
      </c>
      <c r="B6" s="5" t="n">
        <f aca="false">COUNTIF('Sales Data'!D5:D54,A6)</f>
        <v>8</v>
      </c>
      <c r="C6" s="5" t="n">
        <f aca="false">SUMIFS('Sales Data'!H5:H54,'Sales Data'!D5:D54,A6)</f>
        <v>46</v>
      </c>
      <c r="D6" s="19" t="n">
        <f aca="false">SUMIFS('Sales Data'!K5:K54,'Sales Data'!D5:D54,A6)</f>
        <v>444500</v>
      </c>
      <c r="E6" s="19" t="n">
        <f aca="false">SUMIFS('Sales Data'!M5:M54,'Sales Data'!D5:D54,A6)</f>
        <v>122500</v>
      </c>
    </row>
    <row r="7" customFormat="false" ht="15" hidden="false" customHeight="false" outlineLevel="0" collapsed="false">
      <c r="A7" s="16" t="s">
        <v>41</v>
      </c>
      <c r="B7" s="17" t="n">
        <f aca="false">COUNTIF('Sales Data'!D5:D54,A7)</f>
        <v>8</v>
      </c>
      <c r="C7" s="17" t="n">
        <f aca="false">SUMIFS('Sales Data'!H5:H54,'Sales Data'!D5:D54,A7)</f>
        <v>37</v>
      </c>
      <c r="D7" s="18" t="n">
        <f aca="false">SUMIFS('Sales Data'!K5:K54,'Sales Data'!D5:D54,A7)</f>
        <v>465500</v>
      </c>
      <c r="E7" s="18" t="n">
        <f aca="false">SUMIFS('Sales Data'!M5:M54,'Sales Data'!D5:D54,A7)</f>
        <v>114000</v>
      </c>
    </row>
    <row r="8" customFormat="false" ht="15" hidden="false" customHeight="false" outlineLevel="0" collapsed="false">
      <c r="A8" s="6" t="s">
        <v>56</v>
      </c>
      <c r="B8" s="5" t="n">
        <f aca="false">COUNTIF('Sales Data'!D5:D54,A8)</f>
        <v>10</v>
      </c>
      <c r="C8" s="5" t="n">
        <f aca="false">SUMIFS('Sales Data'!H5:H54,'Sales Data'!D5:D54,A8)</f>
        <v>41</v>
      </c>
      <c r="D8" s="19" t="n">
        <f aca="false">SUMIFS('Sales Data'!K5:K54,'Sales Data'!D5:D54,A8)</f>
        <v>32720</v>
      </c>
      <c r="E8" s="19" t="n">
        <f aca="false">SUMIFS('Sales Data'!M5:M54,'Sales Data'!D5:D54,A8)</f>
        <v>12220</v>
      </c>
    </row>
    <row r="9" customFormat="false" ht="15" hidden="false" customHeight="false" outlineLevel="0" collapsed="false">
      <c r="A9" s="16" t="s">
        <v>69</v>
      </c>
      <c r="B9" s="17" t="n">
        <f aca="false">COUNTIF('Sales Data'!D5:D54,A9)</f>
        <v>4</v>
      </c>
      <c r="C9" s="17" t="n">
        <f aca="false">SUMIFS('Sales Data'!H5:H54,'Sales Data'!D5:D54,A9)</f>
        <v>30</v>
      </c>
      <c r="D9" s="18" t="n">
        <f aca="false">SUMIFS('Sales Data'!K5:K54,'Sales Data'!D5:D54,A9)</f>
        <v>15180</v>
      </c>
      <c r="E9" s="18" t="n">
        <f aca="false">SUMIFS('Sales Data'!M5:M54,'Sales Data'!D5:D54,A9)</f>
        <v>6180</v>
      </c>
    </row>
    <row r="10" customFormat="false" ht="15" hidden="false" customHeight="false" outlineLevel="0" collapsed="false">
      <c r="A10" s="6" t="s">
        <v>24</v>
      </c>
      <c r="B10" s="5" t="n">
        <f aca="false">COUNTIF('Sales Data'!D5:D54,A10)</f>
        <v>9</v>
      </c>
      <c r="C10" s="5" t="n">
        <f aca="false">SUMIFS('Sales Data'!H5:H54,'Sales Data'!D5:D54,A10)</f>
        <v>44</v>
      </c>
      <c r="D10" s="19" t="n">
        <f aca="false">SUMIFS('Sales Data'!K5:K54,'Sales Data'!D5:D54,A10)</f>
        <v>66000</v>
      </c>
      <c r="E10" s="19" t="n">
        <f aca="false">SUMIFS('Sales Data'!M5:M54,'Sales Data'!D5:D54,A10)</f>
        <v>22000</v>
      </c>
    </row>
    <row r="13" customFormat="false" ht="15" hidden="false" customHeight="false" outlineLevel="0" collapsed="false">
      <c r="A13" s="14" t="s">
        <v>105</v>
      </c>
    </row>
    <row r="14" customFormat="false" ht="15" hidden="false" customHeight="false" outlineLevel="0" collapsed="false">
      <c r="A14" s="15" t="s">
        <v>7</v>
      </c>
      <c r="B14" s="15" t="s">
        <v>103</v>
      </c>
      <c r="C14" s="15" t="s">
        <v>104</v>
      </c>
      <c r="D14" s="15" t="s">
        <v>12</v>
      </c>
      <c r="E14" s="15" t="s">
        <v>14</v>
      </c>
    </row>
    <row r="15" customFormat="false" ht="15" hidden="false" customHeight="false" outlineLevel="0" collapsed="false">
      <c r="A15" s="16" t="s">
        <v>20</v>
      </c>
      <c r="B15" s="17" t="n">
        <f aca="false">COUNTIF('Sales Data'!F5:F54,A15)</f>
        <v>18</v>
      </c>
      <c r="C15" s="17" t="n">
        <f aca="false">SUMIFS('Sales Data'!H5:H54,'Sales Data'!F5:F54,A15)</f>
        <v>94</v>
      </c>
      <c r="D15" s="18" t="n">
        <f aca="false">SUMIFS('Sales Data'!K5:K54,'Sales Data'!F5:F54,A15)</f>
        <v>1667040</v>
      </c>
      <c r="E15" s="18" t="n">
        <f aca="false">SUMIFS('Sales Data'!M5:M54,'Sales Data'!F5:F54,A15)</f>
        <v>311840</v>
      </c>
    </row>
    <row r="16" customFormat="false" ht="15" hidden="false" customHeight="false" outlineLevel="0" collapsed="false">
      <c r="A16" s="6" t="s">
        <v>31</v>
      </c>
      <c r="B16" s="5" t="n">
        <f aca="false">COUNTIF('Sales Data'!F5:F54,A16)</f>
        <v>12</v>
      </c>
      <c r="C16" s="5" t="n">
        <f aca="false">SUMIFS('Sales Data'!H5:H54,'Sales Data'!F5:F54,A16)</f>
        <v>63</v>
      </c>
      <c r="D16" s="19" t="n">
        <f aca="false">SUMIFS('Sales Data'!K5:K54,'Sales Data'!F5:F54,A16)</f>
        <v>938460</v>
      </c>
      <c r="E16" s="19" t="n">
        <f aca="false">SUMIFS('Sales Data'!M5:M54,'Sales Data'!F5:F54,A16)</f>
        <v>192960</v>
      </c>
    </row>
    <row r="17" customFormat="false" ht="15" hidden="false" customHeight="false" outlineLevel="0" collapsed="false">
      <c r="A17" s="16" t="s">
        <v>26</v>
      </c>
      <c r="B17" s="17" t="n">
        <f aca="false">COUNTIF('Sales Data'!F5:F54,A17)</f>
        <v>12</v>
      </c>
      <c r="C17" s="17" t="n">
        <f aca="false">SUMIFS('Sales Data'!H5:H54,'Sales Data'!F5:F54,A17)</f>
        <v>62</v>
      </c>
      <c r="D17" s="18" t="n">
        <f aca="false">SUMIFS('Sales Data'!K5:K54,'Sales Data'!F5:F54,A17)</f>
        <v>322300</v>
      </c>
      <c r="E17" s="18" t="n">
        <f aca="false">SUMIFS('Sales Data'!M5:M54,'Sales Data'!F5:F54,A17)</f>
        <v>71000</v>
      </c>
    </row>
    <row r="18" customFormat="false" ht="15" hidden="false" customHeight="false" outlineLevel="0" collapsed="false">
      <c r="A18" s="6" t="s">
        <v>35</v>
      </c>
      <c r="B18" s="5" t="n">
        <f aca="false">COUNTIF('Sales Data'!F5:F54,A18)</f>
        <v>8</v>
      </c>
      <c r="C18" s="5" t="n">
        <f aca="false">SUMIFS('Sales Data'!H5:H54,'Sales Data'!F5:F54,A18)</f>
        <v>32</v>
      </c>
      <c r="D18" s="19" t="n">
        <f aca="false">SUMIFS('Sales Data'!K5:K54,'Sales Data'!F5:F54,A18)</f>
        <v>499100</v>
      </c>
      <c r="E18" s="19" t="n">
        <f aca="false">SUMIFS('Sales Data'!M5:M54,'Sales Data'!F5:F54,A18)</f>
        <v>90100</v>
      </c>
    </row>
    <row r="21" customFormat="false" ht="15" hidden="false" customHeight="false" outlineLevel="0" collapsed="false">
      <c r="A21" s="14" t="s">
        <v>106</v>
      </c>
    </row>
    <row r="22" customFormat="false" ht="15" hidden="false" customHeight="false" outlineLevel="0" collapsed="false">
      <c r="A22" s="15" t="s">
        <v>15</v>
      </c>
      <c r="B22" s="15" t="s">
        <v>103</v>
      </c>
      <c r="C22" s="15" t="s">
        <v>104</v>
      </c>
      <c r="D22" s="15" t="s">
        <v>12</v>
      </c>
      <c r="E22" s="15" t="s">
        <v>14</v>
      </c>
    </row>
    <row r="23" customFormat="false" ht="15" hidden="false" customHeight="false" outlineLevel="0" collapsed="false">
      <c r="A23" s="16" t="s">
        <v>107</v>
      </c>
      <c r="B23" s="17" t="n">
        <f aca="false">COUNTIF('Sales Data'!N5:N54,A23)</f>
        <v>9</v>
      </c>
      <c r="C23" s="17" t="n">
        <f aca="false">SUMIFS('Sales Data'!H5:H54,'Sales Data'!N5:N54,A23)</f>
        <v>34</v>
      </c>
      <c r="D23" s="18" t="n">
        <f aca="false">SUMIFS('Sales Data'!K5:K54,'Sales Data'!N5:N54,A23)</f>
        <v>788580</v>
      </c>
      <c r="E23" s="18" t="n">
        <f aca="false">SUMIFS('Sales Data'!M5:M54,'Sales Data'!N5:N54,A23)</f>
        <v>144080</v>
      </c>
    </row>
    <row r="24" customFormat="false" ht="15" hidden="false" customHeight="false" outlineLevel="0" collapsed="false">
      <c r="A24" s="6" t="s">
        <v>108</v>
      </c>
      <c r="B24" s="5" t="n">
        <f aca="false">COUNTIF('Sales Data'!N5:N54,A24)</f>
        <v>8</v>
      </c>
      <c r="C24" s="5" t="n">
        <f aca="false">SUMIFS('Sales Data'!H5:H54,'Sales Data'!N5:N54,A24)</f>
        <v>41</v>
      </c>
      <c r="D24" s="19" t="n">
        <f aca="false">SUMIFS('Sales Data'!K5:K54,'Sales Data'!N5:N54,A24)</f>
        <v>237060</v>
      </c>
      <c r="E24" s="19" t="n">
        <f aca="false">SUMIFS('Sales Data'!M5:M54,'Sales Data'!N5:N54,A24)</f>
        <v>55060</v>
      </c>
    </row>
    <row r="25" customFormat="false" ht="15" hidden="false" customHeight="false" outlineLevel="0" collapsed="false">
      <c r="A25" s="16" t="s">
        <v>109</v>
      </c>
      <c r="B25" s="17" t="n">
        <f aca="false">COUNTIF('Sales Data'!N5:N54,A25)</f>
        <v>9</v>
      </c>
      <c r="C25" s="17" t="n">
        <f aca="false">SUMIFS('Sales Data'!H5:H54,'Sales Data'!N5:N54,A25)</f>
        <v>65</v>
      </c>
      <c r="D25" s="18" t="n">
        <f aca="false">SUMIFS('Sales Data'!K5:K54,'Sales Data'!N5:N54,A25)</f>
        <v>657140</v>
      </c>
      <c r="E25" s="18" t="n">
        <f aca="false">SUMIFS('Sales Data'!M5:M54,'Sales Data'!N5:N54,A25)</f>
        <v>134140</v>
      </c>
    </row>
    <row r="26" customFormat="false" ht="15" hidden="false" customHeight="false" outlineLevel="0" collapsed="false">
      <c r="A26" s="6" t="s">
        <v>110</v>
      </c>
      <c r="B26" s="5" t="n">
        <f aca="false">COUNTIF('Sales Data'!N5:N54,A26)</f>
        <v>8</v>
      </c>
      <c r="C26" s="5" t="n">
        <f aca="false">SUMIFS('Sales Data'!H5:H54,'Sales Data'!N5:N54,A26)</f>
        <v>51</v>
      </c>
      <c r="D26" s="19" t="n">
        <f aca="false">SUMIFS('Sales Data'!K5:K54,'Sales Data'!N5:N54,A26)</f>
        <v>392040</v>
      </c>
      <c r="E26" s="19" t="n">
        <f aca="false">SUMIFS('Sales Data'!M5:M54,'Sales Data'!N5:N54,A26)</f>
        <v>97540</v>
      </c>
    </row>
    <row r="27" customFormat="false" ht="15" hidden="false" customHeight="false" outlineLevel="0" collapsed="false">
      <c r="A27" s="16" t="s">
        <v>111</v>
      </c>
      <c r="B27" s="17" t="n">
        <f aca="false">COUNTIF('Sales Data'!N5:N54,A27)</f>
        <v>8</v>
      </c>
      <c r="C27" s="17" t="n">
        <f aca="false">SUMIFS('Sales Data'!H5:H54,'Sales Data'!N5:N54,A27)</f>
        <v>31</v>
      </c>
      <c r="D27" s="18" t="n">
        <f aca="false">SUMIFS('Sales Data'!K5:K54,'Sales Data'!N5:N54,A27)</f>
        <v>670520</v>
      </c>
      <c r="E27" s="18" t="n">
        <f aca="false">SUMIFS('Sales Data'!M5:M54,'Sales Data'!N5:N54,A27)</f>
        <v>115020</v>
      </c>
    </row>
    <row r="28" customFormat="false" ht="15" hidden="false" customHeight="false" outlineLevel="0" collapsed="false">
      <c r="A28" s="6" t="s">
        <v>112</v>
      </c>
      <c r="B28" s="5" t="n">
        <f aca="false">COUNTIF('Sales Data'!N5:N54,A28)</f>
        <v>8</v>
      </c>
      <c r="C28" s="5" t="n">
        <f aca="false">SUMIFS('Sales Data'!H5:H54,'Sales Data'!N5:N54,A28)</f>
        <v>29</v>
      </c>
      <c r="D28" s="19" t="n">
        <f aca="false">SUMIFS('Sales Data'!K5:K54,'Sales Data'!N5:N54,A28)</f>
        <v>681560</v>
      </c>
      <c r="E28" s="19" t="n">
        <f aca="false">SUMIFS('Sales Data'!M5:M54,'Sales Data'!N5:N54,A28)</f>
        <v>120060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1.5"/>
  </cols>
  <sheetData>
    <row r="1" customFormat="false" ht="33.75" hidden="false" customHeight="true" outlineLevel="0" collapsed="false">
      <c r="A1" s="20" t="s">
        <v>113</v>
      </c>
      <c r="B1" s="20"/>
      <c r="C1" s="20"/>
      <c r="D1" s="20"/>
      <c r="E1" s="20"/>
      <c r="F1" s="20"/>
      <c r="G1" s="20"/>
      <c r="H1" s="20"/>
    </row>
    <row r="3" customFormat="false" ht="19.5" hidden="false" customHeight="true" outlineLevel="0" collapsed="false">
      <c r="A3" s="21" t="s">
        <v>114</v>
      </c>
      <c r="B3" s="21"/>
      <c r="C3" s="21" t="s">
        <v>115</v>
      </c>
      <c r="D3" s="21"/>
      <c r="E3" s="21" t="s">
        <v>116</v>
      </c>
      <c r="F3" s="21"/>
      <c r="G3" s="21" t="s">
        <v>117</v>
      </c>
      <c r="H3" s="21"/>
    </row>
    <row r="4" customFormat="false" ht="21.75" hidden="false" customHeight="true" outlineLevel="0" collapsed="false">
      <c r="A4" s="22" t="n">
        <f aca="false">SUM('Sales Data'!K5:K54)</f>
        <v>3426900</v>
      </c>
      <c r="B4" s="22"/>
      <c r="C4" s="22" t="n">
        <f aca="false">SUM('Sales Data'!M5:M54)</f>
        <v>665900</v>
      </c>
      <c r="D4" s="22"/>
      <c r="E4" s="23" t="n">
        <f aca="false">COUNTA('Sales Data'!B5:B54)</f>
        <v>50</v>
      </c>
      <c r="F4" s="23"/>
      <c r="G4" s="22" t="n">
        <f aca="false">SUM('Sales Data'!K5:K54)/COUNTA('Sales Data'!B5:B54)</f>
        <v>68538</v>
      </c>
      <c r="H4" s="22"/>
    </row>
    <row r="5" customFormat="false" ht="21.75" hidden="false" customHeight="true" outlineLevel="0" collapsed="false">
      <c r="A5" s="22"/>
      <c r="B5" s="22"/>
      <c r="C5" s="22"/>
      <c r="D5" s="22"/>
      <c r="E5" s="23"/>
      <c r="F5" s="23"/>
      <c r="G5" s="22"/>
      <c r="H5" s="22"/>
    </row>
    <row r="6" customFormat="false" ht="7.5" hidden="false" customHeight="true" outlineLevel="0" collapsed="false"/>
  </sheetData>
  <mergeCells count="9">
    <mergeCell ref="A1:H1"/>
    <mergeCell ref="A3:B3"/>
    <mergeCell ref="C3:D3"/>
    <mergeCell ref="E3:F3"/>
    <mergeCell ref="G3:H3"/>
    <mergeCell ref="A4:B5"/>
    <mergeCell ref="C4:D5"/>
    <mergeCell ref="E4:F5"/>
    <mergeCell ref="G4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2026-09-11T06:23:20Z</dcterms:created>
  <dc:creator>openpyxl</dc:creator>
  <dc:description/>
  <dc:language>en-US</dc:language>
  <cp:lastModifiedBy/>
  <dcterms:modified xsi:type="dcterms:W3CDTF">2026-09-11T06:23:26Z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