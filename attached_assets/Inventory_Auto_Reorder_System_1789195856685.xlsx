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<sst xmlns="http://schemas.openxmlformats.org/spreadsheetml/2006/main" count="236" uniqueCount="145">
  <si>
    <t xml:space="preserve">INVENTORY + AUTOMATIC REORDER SYSTEM</t>
  </si>
  <si>
    <t xml:space="preserve">Prepared for: Wholesaler / Retail Shopkeeper Stock Management  |  Updated: Live formula-based sheet</t>
  </si>
  <si>
    <t xml:space="preserve">Product ID</t>
  </si>
  <si>
    <t xml:space="preserve">Product Name</t>
  </si>
  <si>
    <t xml:space="preserve">Category</t>
  </si>
  <si>
    <t xml:space="preserve">Supplier</t>
  </si>
  <si>
    <t xml:space="preserve">Purchase Price (₹)</t>
  </si>
  <si>
    <t xml:space="preserve">Selling Price (₹)</t>
  </si>
  <si>
    <t xml:space="preserve">Current Stock</t>
  </si>
  <si>
    <t xml:space="preserve">Reorder Level</t>
  </si>
  <si>
    <t xml:space="preserve">Stock Value (₹)</t>
  </si>
  <si>
    <t xml:space="preserve">Expected Sales Value (₹)</t>
  </si>
  <si>
    <t xml:space="preserve">Potential Profit (₹)</t>
  </si>
  <si>
    <t xml:space="preserve">Reorder Status</t>
  </si>
  <si>
    <t xml:space="preserve">P001</t>
  </si>
  <si>
    <t xml:space="preserve">Notebook 200pg</t>
  </si>
  <si>
    <t xml:space="preserve">Stationery</t>
  </si>
  <si>
    <t xml:space="preserve">Om Traders</t>
  </si>
  <si>
    <t xml:space="preserve">P002</t>
  </si>
  <si>
    <t xml:space="preserve">Ball Pen (Blue)</t>
  </si>
  <si>
    <t xml:space="preserve">P003</t>
  </si>
  <si>
    <t xml:space="preserve">Pencil HB</t>
  </si>
  <si>
    <t xml:space="preserve">P004</t>
  </si>
  <si>
    <t xml:space="preserve">Eraser</t>
  </si>
  <si>
    <t xml:space="preserve">P005</t>
  </si>
  <si>
    <t xml:space="preserve">Sharpener</t>
  </si>
  <si>
    <t xml:space="preserve">P006</t>
  </si>
  <si>
    <t xml:space="preserve">Register (200pg)</t>
  </si>
  <si>
    <t xml:space="preserve">Sharma &amp; Sons</t>
  </si>
  <si>
    <t xml:space="preserve">P007</t>
  </si>
  <si>
    <t xml:space="preserve">Gel Pen (Black)</t>
  </si>
  <si>
    <t xml:space="preserve">P008</t>
  </si>
  <si>
    <t xml:space="preserve">A4 Paper Ream</t>
  </si>
  <si>
    <t xml:space="preserve">P009</t>
  </si>
  <si>
    <t xml:space="preserve">Stapler</t>
  </si>
  <si>
    <t xml:space="preserve">P010</t>
  </si>
  <si>
    <t xml:space="preserve">Stapler Pins Box</t>
  </si>
  <si>
    <t xml:space="preserve">P011</t>
  </si>
  <si>
    <t xml:space="preserve">Glue Stick</t>
  </si>
  <si>
    <t xml:space="preserve">Kumar Distributors</t>
  </si>
  <si>
    <t xml:space="preserve">P012</t>
  </si>
  <si>
    <t xml:space="preserve">Highlighter Set</t>
  </si>
  <si>
    <t xml:space="preserve">P013</t>
  </si>
  <si>
    <t xml:space="preserve">Geometry Box</t>
  </si>
  <si>
    <t xml:space="preserve">P014</t>
  </si>
  <si>
    <t xml:space="preserve">Whitener/Correction Pen</t>
  </si>
  <si>
    <t xml:space="preserve">P015</t>
  </si>
  <si>
    <t xml:space="preserve">File Folder</t>
  </si>
  <si>
    <t xml:space="preserve">P016</t>
  </si>
  <si>
    <t xml:space="preserve">Water Bottle 1L</t>
  </si>
  <si>
    <t xml:space="preserve">Household</t>
  </si>
  <si>
    <t xml:space="preserve">Patel Wholesale</t>
  </si>
  <si>
    <t xml:space="preserve">P017</t>
  </si>
  <si>
    <t xml:space="preserve">Plastic Mug</t>
  </si>
  <si>
    <t xml:space="preserve">P018</t>
  </si>
  <si>
    <t xml:space="preserve">Broom</t>
  </si>
  <si>
    <t xml:space="preserve">P019</t>
  </si>
  <si>
    <t xml:space="preserve">Dustbin (Small)</t>
  </si>
  <si>
    <t xml:space="preserve">P020</t>
  </si>
  <si>
    <t xml:space="preserve">Detergent Powder 1kg</t>
  </si>
  <si>
    <t xml:space="preserve">P021</t>
  </si>
  <si>
    <t xml:space="preserve">Dish Soap Bar</t>
  </si>
  <si>
    <t xml:space="preserve">Verma Enterprises</t>
  </si>
  <si>
    <t xml:space="preserve">P022</t>
  </si>
  <si>
    <t xml:space="preserve">Toilet Cleaner 500ml</t>
  </si>
  <si>
    <t xml:space="preserve">P023</t>
  </si>
  <si>
    <t xml:space="preserve">Floor Cleaner 1L</t>
  </si>
  <si>
    <t xml:space="preserve">P024</t>
  </si>
  <si>
    <t xml:space="preserve">Phenyl 1L</t>
  </si>
  <si>
    <t xml:space="preserve">P025</t>
  </si>
  <si>
    <t xml:space="preserve">Candles Pack</t>
  </si>
  <si>
    <t xml:space="preserve">P026</t>
  </si>
  <si>
    <t xml:space="preserve">Rice 5kg</t>
  </si>
  <si>
    <t xml:space="preserve">Grocery</t>
  </si>
  <si>
    <t xml:space="preserve">Agarwal Traders</t>
  </si>
  <si>
    <t xml:space="preserve">P027</t>
  </si>
  <si>
    <t xml:space="preserve">Wheat Flour 5kg</t>
  </si>
  <si>
    <t xml:space="preserve">P028</t>
  </si>
  <si>
    <t xml:space="preserve">Sugar 1kg</t>
  </si>
  <si>
    <t xml:space="preserve">P029</t>
  </si>
  <si>
    <t xml:space="preserve">Salt 1kg</t>
  </si>
  <si>
    <t xml:space="preserve">P030</t>
  </si>
  <si>
    <t xml:space="preserve">Cooking Oil 1L</t>
  </si>
  <si>
    <t xml:space="preserve">P031</t>
  </si>
  <si>
    <t xml:space="preserve">Tea Powder 250g</t>
  </si>
  <si>
    <t xml:space="preserve">Bansal Suppliers</t>
  </si>
  <si>
    <t xml:space="preserve">P032</t>
  </si>
  <si>
    <t xml:space="preserve">Coffee Powder 200g</t>
  </si>
  <si>
    <t xml:space="preserve">P033</t>
  </si>
  <si>
    <t xml:space="preserve">Biscuit Pack</t>
  </si>
  <si>
    <t xml:space="preserve">P034</t>
  </si>
  <si>
    <t xml:space="preserve">Instant Noodles Pack</t>
  </si>
  <si>
    <t xml:space="preserve">P035</t>
  </si>
  <si>
    <t xml:space="preserve">Toor Dal 1kg</t>
  </si>
  <si>
    <t xml:space="preserve">P036</t>
  </si>
  <si>
    <t xml:space="preserve">Bathing Soap</t>
  </si>
  <si>
    <t xml:space="preserve">Personal Care</t>
  </si>
  <si>
    <t xml:space="preserve">Mehta &amp; Co</t>
  </si>
  <si>
    <t xml:space="preserve">P037</t>
  </si>
  <si>
    <t xml:space="preserve">Shampoo Sachet Box</t>
  </si>
  <si>
    <t xml:space="preserve">P038</t>
  </si>
  <si>
    <t xml:space="preserve">Toothpaste 100g</t>
  </si>
  <si>
    <t xml:space="preserve">P039</t>
  </si>
  <si>
    <t xml:space="preserve">Toothbrush</t>
  </si>
  <si>
    <t xml:space="preserve">P040</t>
  </si>
  <si>
    <t xml:space="preserve">Hair Oil 200ml</t>
  </si>
  <si>
    <t xml:space="preserve">P041</t>
  </si>
  <si>
    <t xml:space="preserve">Face Wash 100ml</t>
  </si>
  <si>
    <t xml:space="preserve">Nanda Distributors</t>
  </si>
  <si>
    <t xml:space="preserve">P042</t>
  </si>
  <si>
    <t xml:space="preserve">Hand Sanitizer 100ml</t>
  </si>
  <si>
    <t xml:space="preserve">P043</t>
  </si>
  <si>
    <t xml:space="preserve">Shaving Razor Pack</t>
  </si>
  <si>
    <t xml:space="preserve">P044</t>
  </si>
  <si>
    <t xml:space="preserve">USB Cable</t>
  </si>
  <si>
    <t xml:space="preserve">Electronics</t>
  </si>
  <si>
    <t xml:space="preserve">Singh Electronics</t>
  </si>
  <si>
    <t xml:space="preserve">P045</t>
  </si>
  <si>
    <t xml:space="preserve">Earphones</t>
  </si>
  <si>
    <t xml:space="preserve">P046</t>
  </si>
  <si>
    <t xml:space="preserve">LED Bulb 9W</t>
  </si>
  <si>
    <t xml:space="preserve">P047</t>
  </si>
  <si>
    <t xml:space="preserve">Extension Board</t>
  </si>
  <si>
    <t xml:space="preserve">P048</t>
  </si>
  <si>
    <t xml:space="preserve">AA Battery Pack</t>
  </si>
  <si>
    <t xml:space="preserve">P049</t>
  </si>
  <si>
    <t xml:space="preserve">Mobile Charger</t>
  </si>
  <si>
    <t xml:space="preserve">Gupta Traders</t>
  </si>
  <si>
    <t xml:space="preserve">P050</t>
  </si>
  <si>
    <t xml:space="preserve">Power Bank 10000mAh</t>
  </si>
  <si>
    <t xml:space="preserve">Formula Logic</t>
  </si>
  <si>
    <t xml:space="preserve">•  Stock Value = Purchase Price × Current Stock</t>
  </si>
  <si>
    <t xml:space="preserve">•  Expected Sales Value = Selling Price × Current Stock</t>
  </si>
  <si>
    <t xml:space="preserve">•  Potential Profit = Expected Sales Value − Stock Value</t>
  </si>
  <si>
    <t xml:space="preserve">•  Reorder Status = "REORDER" if Current Stock &lt; Reorder Level, else "OK"</t>
  </si>
  <si>
    <t xml:space="preserve">INVENTORY DASHBOARD</t>
  </si>
  <si>
    <t xml:space="preserve">Total Products</t>
  </si>
  <si>
    <t xml:space="preserve">Products Needing Reorder</t>
  </si>
  <si>
    <t xml:space="preserve">Products OK</t>
  </si>
  <si>
    <t xml:space="preserve">Total Stock Value (₹)</t>
  </si>
  <si>
    <t xml:space="preserve">Total Expected Sales Value (₹)</t>
  </si>
  <si>
    <t xml:space="preserve">Total Potential Profit (₹)</t>
  </si>
  <si>
    <t xml:space="preserve">Category-wise Summary</t>
  </si>
  <si>
    <t xml:space="preserve">Products</t>
  </si>
  <si>
    <t xml:space="preserve">Needing Reorder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</si>
</sst>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2A44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.5"/>
      <color rgb="FF475467"/>
      <name val="Arial"/>
      <family val="0"/>
      <charset val="1"/>
    </font>
    <font>
      <b val="true"/>
      <sz val="12"/>
      <color rgb="FFE8702A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8702A"/>
      <rgbColor rgb="FF4754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4" t="s">
        <v>16</v>
      </c>
      <c r="D5" s="4" t="s">
        <v>17</v>
      </c>
      <c r="E5" s="6" t="n">
        <v>35</v>
      </c>
      <c r="F5" s="6" t="n">
        <v>55</v>
      </c>
      <c r="G5" s="4" t="n">
        <v>8</v>
      </c>
      <c r="H5" s="4" t="n">
        <v>20</v>
      </c>
      <c r="I5" s="7" t="n">
        <f aca="false">E5*G5</f>
        <v>280</v>
      </c>
      <c r="J5" s="7" t="n">
        <f aca="false">F5*G5</f>
        <v>440</v>
      </c>
      <c r="K5" s="7" t="n">
        <f aca="false">J5-I5</f>
        <v>160</v>
      </c>
      <c r="L5" s="8" t="str">
        <f aca="false">IF(G5&lt;H5,"REORDER","OK")</f>
        <v>REORDER</v>
      </c>
    </row>
    <row r="6" customFormat="false" ht="15" hidden="false" customHeight="false" outlineLevel="0" collapsed="false">
      <c r="A6" s="9" t="s">
        <v>18</v>
      </c>
      <c r="B6" s="10" t="s">
        <v>19</v>
      </c>
      <c r="C6" s="9" t="s">
        <v>16</v>
      </c>
      <c r="D6" s="9" t="s">
        <v>17</v>
      </c>
      <c r="E6" s="11" t="n">
        <v>4</v>
      </c>
      <c r="F6" s="11" t="n">
        <v>8</v>
      </c>
      <c r="G6" s="9" t="n">
        <v>45</v>
      </c>
      <c r="H6" s="9" t="n">
        <v>50</v>
      </c>
      <c r="I6" s="7" t="n">
        <f aca="false">E6*G6</f>
        <v>180</v>
      </c>
      <c r="J6" s="7" t="n">
        <f aca="false">F6*G6</f>
        <v>360</v>
      </c>
      <c r="K6" s="7" t="n">
        <f aca="false">J6-I6</f>
        <v>180</v>
      </c>
      <c r="L6" s="8" t="str">
        <f aca="false">IF(G6&lt;H6,"REORDER","OK")</f>
        <v>REORDER</v>
      </c>
    </row>
    <row r="7" customFormat="false" ht="15" hidden="false" customHeight="false" outlineLevel="0" collapsed="false">
      <c r="A7" s="4" t="s">
        <v>20</v>
      </c>
      <c r="B7" s="5" t="s">
        <v>21</v>
      </c>
      <c r="C7" s="4" t="s">
        <v>16</v>
      </c>
      <c r="D7" s="4" t="s">
        <v>17</v>
      </c>
      <c r="E7" s="6" t="n">
        <v>3</v>
      </c>
      <c r="F7" s="6" t="n">
        <v>6</v>
      </c>
      <c r="G7" s="4" t="n">
        <v>120</v>
      </c>
      <c r="H7" s="4" t="n">
        <v>60</v>
      </c>
      <c r="I7" s="7" t="n">
        <f aca="false">E7*G7</f>
        <v>360</v>
      </c>
      <c r="J7" s="7" t="n">
        <f aca="false">F7*G7</f>
        <v>720</v>
      </c>
      <c r="K7" s="7" t="n">
        <f aca="false">J7-I7</f>
        <v>360</v>
      </c>
      <c r="L7" s="8" t="str">
        <f aca="false">IF(G7&lt;H7,"REORDER","OK")</f>
        <v>OK</v>
      </c>
    </row>
    <row r="8" customFormat="false" ht="15" hidden="false" customHeight="false" outlineLevel="0" collapsed="false">
      <c r="A8" s="9" t="s">
        <v>22</v>
      </c>
      <c r="B8" s="10" t="s">
        <v>23</v>
      </c>
      <c r="C8" s="9" t="s">
        <v>16</v>
      </c>
      <c r="D8" s="9" t="s">
        <v>17</v>
      </c>
      <c r="E8" s="11" t="n">
        <v>2</v>
      </c>
      <c r="F8" s="11" t="n">
        <v>5</v>
      </c>
      <c r="G8" s="9" t="n">
        <v>90</v>
      </c>
      <c r="H8" s="9" t="n">
        <v>40</v>
      </c>
      <c r="I8" s="7" t="n">
        <f aca="false">E8*G8</f>
        <v>180</v>
      </c>
      <c r="J8" s="7" t="n">
        <f aca="false">F8*G8</f>
        <v>450</v>
      </c>
      <c r="K8" s="7" t="n">
        <f aca="false">J8-I8</f>
        <v>270</v>
      </c>
      <c r="L8" s="8" t="str">
        <f aca="false">IF(G8&lt;H8,"REORDER","OK")</f>
        <v>OK</v>
      </c>
    </row>
    <row r="9" customFormat="false" ht="15" hidden="false" customHeight="false" outlineLevel="0" collapsed="false">
      <c r="A9" s="4" t="s">
        <v>24</v>
      </c>
      <c r="B9" s="5" t="s">
        <v>25</v>
      </c>
      <c r="C9" s="4" t="s">
        <v>16</v>
      </c>
      <c r="D9" s="4" t="s">
        <v>17</v>
      </c>
      <c r="E9" s="6" t="n">
        <v>3</v>
      </c>
      <c r="F9" s="6" t="n">
        <v>7</v>
      </c>
      <c r="G9" s="4" t="n">
        <v>15</v>
      </c>
      <c r="H9" s="4" t="n">
        <v>30</v>
      </c>
      <c r="I9" s="7" t="n">
        <f aca="false">E9*G9</f>
        <v>45</v>
      </c>
      <c r="J9" s="7" t="n">
        <f aca="false">F9*G9</f>
        <v>105</v>
      </c>
      <c r="K9" s="7" t="n">
        <f aca="false">J9-I9</f>
        <v>60</v>
      </c>
      <c r="L9" s="8" t="str">
        <f aca="false">IF(G9&lt;H9,"REORDER","OK")</f>
        <v>REORDER</v>
      </c>
    </row>
    <row r="10" customFormat="false" ht="15" hidden="false" customHeight="false" outlineLevel="0" collapsed="false">
      <c r="A10" s="9" t="s">
        <v>26</v>
      </c>
      <c r="B10" s="10" t="s">
        <v>27</v>
      </c>
      <c r="C10" s="9" t="s">
        <v>16</v>
      </c>
      <c r="D10" s="9" t="s">
        <v>28</v>
      </c>
      <c r="E10" s="11" t="n">
        <v>60</v>
      </c>
      <c r="F10" s="11" t="n">
        <v>95</v>
      </c>
      <c r="G10" s="9" t="n">
        <v>6</v>
      </c>
      <c r="H10" s="9" t="n">
        <v>15</v>
      </c>
      <c r="I10" s="7" t="n">
        <f aca="false">E10*G10</f>
        <v>360</v>
      </c>
      <c r="J10" s="7" t="n">
        <f aca="false">F10*G10</f>
        <v>570</v>
      </c>
      <c r="K10" s="7" t="n">
        <f aca="false">J10-I10</f>
        <v>210</v>
      </c>
      <c r="L10" s="8" t="str">
        <f aca="false">IF(G10&lt;H10,"REORDER","OK")</f>
        <v>REORDER</v>
      </c>
    </row>
    <row r="11" customFormat="false" ht="15" hidden="false" customHeight="false" outlineLevel="0" collapsed="false">
      <c r="A11" s="4" t="s">
        <v>29</v>
      </c>
      <c r="B11" s="5" t="s">
        <v>30</v>
      </c>
      <c r="C11" s="4" t="s">
        <v>16</v>
      </c>
      <c r="D11" s="4" t="s">
        <v>28</v>
      </c>
      <c r="E11" s="6" t="n">
        <v>6</v>
      </c>
      <c r="F11" s="6" t="n">
        <v>12</v>
      </c>
      <c r="G11" s="4" t="n">
        <v>35</v>
      </c>
      <c r="H11" s="4" t="n">
        <v>40</v>
      </c>
      <c r="I11" s="7" t="n">
        <f aca="false">E11*G11</f>
        <v>210</v>
      </c>
      <c r="J11" s="7" t="n">
        <f aca="false">F11*G11</f>
        <v>420</v>
      </c>
      <c r="K11" s="7" t="n">
        <f aca="false">J11-I11</f>
        <v>210</v>
      </c>
      <c r="L11" s="8" t="str">
        <f aca="false">IF(G11&lt;H11,"REORDER","OK")</f>
        <v>REORDER</v>
      </c>
    </row>
    <row r="12" customFormat="false" ht="15" hidden="false" customHeight="false" outlineLevel="0" collapsed="false">
      <c r="A12" s="9" t="s">
        <v>31</v>
      </c>
      <c r="B12" s="10" t="s">
        <v>32</v>
      </c>
      <c r="C12" s="9" t="s">
        <v>16</v>
      </c>
      <c r="D12" s="9" t="s">
        <v>28</v>
      </c>
      <c r="E12" s="11" t="n">
        <v>220</v>
      </c>
      <c r="F12" s="11" t="n">
        <v>280</v>
      </c>
      <c r="G12" s="9" t="n">
        <v>12</v>
      </c>
      <c r="H12" s="9" t="n">
        <v>20</v>
      </c>
      <c r="I12" s="7" t="n">
        <f aca="false">E12*G12</f>
        <v>2640</v>
      </c>
      <c r="J12" s="7" t="n">
        <f aca="false">F12*G12</f>
        <v>3360</v>
      </c>
      <c r="K12" s="7" t="n">
        <f aca="false">J12-I12</f>
        <v>720</v>
      </c>
      <c r="L12" s="8" t="str">
        <f aca="false">IF(G12&lt;H12,"REORDER","OK")</f>
        <v>REORDER</v>
      </c>
    </row>
    <row r="13" customFormat="false" ht="15" hidden="false" customHeight="false" outlineLevel="0" collapsed="false">
      <c r="A13" s="4" t="s">
        <v>33</v>
      </c>
      <c r="B13" s="5" t="s">
        <v>34</v>
      </c>
      <c r="C13" s="4" t="s">
        <v>16</v>
      </c>
      <c r="D13" s="4" t="s">
        <v>28</v>
      </c>
      <c r="E13" s="6" t="n">
        <v>45</v>
      </c>
      <c r="F13" s="6" t="n">
        <v>70</v>
      </c>
      <c r="G13" s="4" t="n">
        <v>9</v>
      </c>
      <c r="H13" s="4" t="n">
        <v>10</v>
      </c>
      <c r="I13" s="7" t="n">
        <f aca="false">E13*G13</f>
        <v>405</v>
      </c>
      <c r="J13" s="7" t="n">
        <f aca="false">F13*G13</f>
        <v>630</v>
      </c>
      <c r="K13" s="7" t="n">
        <f aca="false">J13-I13</f>
        <v>225</v>
      </c>
      <c r="L13" s="8" t="str">
        <f aca="false">IF(G13&lt;H13,"REORDER","OK")</f>
        <v>REORDER</v>
      </c>
    </row>
    <row r="14" customFormat="false" ht="15" hidden="false" customHeight="false" outlineLevel="0" collapsed="false">
      <c r="A14" s="9" t="s">
        <v>35</v>
      </c>
      <c r="B14" s="10" t="s">
        <v>36</v>
      </c>
      <c r="C14" s="9" t="s">
        <v>16</v>
      </c>
      <c r="D14" s="9" t="s">
        <v>28</v>
      </c>
      <c r="E14" s="11" t="n">
        <v>8</v>
      </c>
      <c r="F14" s="11" t="n">
        <v>15</v>
      </c>
      <c r="G14" s="9" t="n">
        <v>55</v>
      </c>
      <c r="H14" s="9" t="n">
        <v>30</v>
      </c>
      <c r="I14" s="7" t="n">
        <f aca="false">E14*G14</f>
        <v>440</v>
      </c>
      <c r="J14" s="7" t="n">
        <f aca="false">F14*G14</f>
        <v>825</v>
      </c>
      <c r="K14" s="7" t="n">
        <f aca="false">J14-I14</f>
        <v>385</v>
      </c>
      <c r="L14" s="8" t="str">
        <f aca="false">IF(G14&lt;H14,"REORDER","OK")</f>
        <v>OK</v>
      </c>
    </row>
    <row r="15" customFormat="false" ht="15" hidden="false" customHeight="false" outlineLevel="0" collapsed="false">
      <c r="A15" s="4" t="s">
        <v>37</v>
      </c>
      <c r="B15" s="5" t="s">
        <v>38</v>
      </c>
      <c r="C15" s="4" t="s">
        <v>16</v>
      </c>
      <c r="D15" s="4" t="s">
        <v>39</v>
      </c>
      <c r="E15" s="6" t="n">
        <v>10</v>
      </c>
      <c r="F15" s="6" t="n">
        <v>18</v>
      </c>
      <c r="G15" s="4" t="n">
        <v>28</v>
      </c>
      <c r="H15" s="4" t="n">
        <v>25</v>
      </c>
      <c r="I15" s="7" t="n">
        <f aca="false">E15*G15</f>
        <v>280</v>
      </c>
      <c r="J15" s="7" t="n">
        <f aca="false">F15*G15</f>
        <v>504</v>
      </c>
      <c r="K15" s="7" t="n">
        <f aca="false">J15-I15</f>
        <v>224</v>
      </c>
      <c r="L15" s="8" t="str">
        <f aca="false">IF(G15&lt;H15,"REORDER","OK")</f>
        <v>OK</v>
      </c>
    </row>
    <row r="16" customFormat="false" ht="15" hidden="false" customHeight="false" outlineLevel="0" collapsed="false">
      <c r="A16" s="9" t="s">
        <v>40</v>
      </c>
      <c r="B16" s="10" t="s">
        <v>41</v>
      </c>
      <c r="C16" s="9" t="s">
        <v>16</v>
      </c>
      <c r="D16" s="9" t="s">
        <v>39</v>
      </c>
      <c r="E16" s="11" t="n">
        <v>40</v>
      </c>
      <c r="F16" s="11" t="n">
        <v>65</v>
      </c>
      <c r="G16" s="9" t="n">
        <v>14</v>
      </c>
      <c r="H16" s="9" t="n">
        <v>15</v>
      </c>
      <c r="I16" s="7" t="n">
        <f aca="false">E16*G16</f>
        <v>560</v>
      </c>
      <c r="J16" s="7" t="n">
        <f aca="false">F16*G16</f>
        <v>910</v>
      </c>
      <c r="K16" s="7" t="n">
        <f aca="false">J16-I16</f>
        <v>350</v>
      </c>
      <c r="L16" s="8" t="str">
        <f aca="false">IF(G16&lt;H16,"REORDER","OK")</f>
        <v>REORDER</v>
      </c>
    </row>
    <row r="17" customFormat="false" ht="15" hidden="false" customHeight="false" outlineLevel="0" collapsed="false">
      <c r="A17" s="4" t="s">
        <v>42</v>
      </c>
      <c r="B17" s="5" t="s">
        <v>43</v>
      </c>
      <c r="C17" s="4" t="s">
        <v>16</v>
      </c>
      <c r="D17" s="4" t="s">
        <v>39</v>
      </c>
      <c r="E17" s="6" t="n">
        <v>55</v>
      </c>
      <c r="F17" s="6" t="n">
        <v>85</v>
      </c>
      <c r="G17" s="4" t="n">
        <v>10</v>
      </c>
      <c r="H17" s="4" t="n">
        <v>12</v>
      </c>
      <c r="I17" s="7" t="n">
        <f aca="false">E17*G17</f>
        <v>550</v>
      </c>
      <c r="J17" s="7" t="n">
        <f aca="false">F17*G17</f>
        <v>850</v>
      </c>
      <c r="K17" s="7" t="n">
        <f aca="false">J17-I17</f>
        <v>300</v>
      </c>
      <c r="L17" s="8" t="str">
        <f aca="false">IF(G17&lt;H17,"REORDER","OK")</f>
        <v>REORDER</v>
      </c>
    </row>
    <row r="18" customFormat="false" ht="15" hidden="false" customHeight="false" outlineLevel="0" collapsed="false">
      <c r="A18" s="9" t="s">
        <v>44</v>
      </c>
      <c r="B18" s="10" t="s">
        <v>45</v>
      </c>
      <c r="C18" s="9" t="s">
        <v>16</v>
      </c>
      <c r="D18" s="9" t="s">
        <v>39</v>
      </c>
      <c r="E18" s="11" t="n">
        <v>12</v>
      </c>
      <c r="F18" s="11" t="n">
        <v>22</v>
      </c>
      <c r="G18" s="9" t="n">
        <v>20</v>
      </c>
      <c r="H18" s="9" t="n">
        <v>20</v>
      </c>
      <c r="I18" s="7" t="n">
        <f aca="false">E18*G18</f>
        <v>240</v>
      </c>
      <c r="J18" s="7" t="n">
        <f aca="false">F18*G18</f>
        <v>440</v>
      </c>
      <c r="K18" s="7" t="n">
        <f aca="false">J18-I18</f>
        <v>200</v>
      </c>
      <c r="L18" s="8" t="str">
        <f aca="false">IF(G18&lt;H18,"REORDER","OK")</f>
        <v>OK</v>
      </c>
    </row>
    <row r="19" customFormat="false" ht="15" hidden="false" customHeight="false" outlineLevel="0" collapsed="false">
      <c r="A19" s="4" t="s">
        <v>46</v>
      </c>
      <c r="B19" s="5" t="s">
        <v>47</v>
      </c>
      <c r="C19" s="4" t="s">
        <v>16</v>
      </c>
      <c r="D19" s="4" t="s">
        <v>39</v>
      </c>
      <c r="E19" s="6" t="n">
        <v>15</v>
      </c>
      <c r="F19" s="6" t="n">
        <v>25</v>
      </c>
      <c r="G19" s="4" t="n">
        <v>60</v>
      </c>
      <c r="H19" s="4" t="n">
        <v>25</v>
      </c>
      <c r="I19" s="7" t="n">
        <f aca="false">E19*G19</f>
        <v>900</v>
      </c>
      <c r="J19" s="7" t="n">
        <f aca="false">F19*G19</f>
        <v>1500</v>
      </c>
      <c r="K19" s="7" t="n">
        <f aca="false">J19-I19</f>
        <v>600</v>
      </c>
      <c r="L19" s="8" t="str">
        <f aca="false">IF(G19&lt;H19,"REORDER","OK")</f>
        <v>OK</v>
      </c>
    </row>
    <row r="20" customFormat="false" ht="15" hidden="false" customHeight="false" outlineLevel="0" collapsed="false">
      <c r="A20" s="9" t="s">
        <v>48</v>
      </c>
      <c r="B20" s="10" t="s">
        <v>49</v>
      </c>
      <c r="C20" s="9" t="s">
        <v>50</v>
      </c>
      <c r="D20" s="9" t="s">
        <v>51</v>
      </c>
      <c r="E20" s="11" t="n">
        <v>45</v>
      </c>
      <c r="F20" s="11" t="n">
        <v>70</v>
      </c>
      <c r="G20" s="9" t="n">
        <v>20</v>
      </c>
      <c r="H20" s="9" t="n">
        <v>15</v>
      </c>
      <c r="I20" s="7" t="n">
        <f aca="false">E20*G20</f>
        <v>900</v>
      </c>
      <c r="J20" s="7" t="n">
        <f aca="false">F20*G20</f>
        <v>1400</v>
      </c>
      <c r="K20" s="7" t="n">
        <f aca="false">J20-I20</f>
        <v>500</v>
      </c>
      <c r="L20" s="8" t="str">
        <f aca="false">IF(G20&lt;H20,"REORDER","OK")</f>
        <v>OK</v>
      </c>
    </row>
    <row r="21" customFormat="false" ht="15" hidden="false" customHeight="false" outlineLevel="0" collapsed="false">
      <c r="A21" s="4" t="s">
        <v>52</v>
      </c>
      <c r="B21" s="5" t="s">
        <v>53</v>
      </c>
      <c r="C21" s="4" t="s">
        <v>50</v>
      </c>
      <c r="D21" s="4" t="s">
        <v>51</v>
      </c>
      <c r="E21" s="6" t="n">
        <v>20</v>
      </c>
      <c r="F21" s="6" t="n">
        <v>35</v>
      </c>
      <c r="G21" s="4" t="n">
        <v>18</v>
      </c>
      <c r="H21" s="4" t="n">
        <v>20</v>
      </c>
      <c r="I21" s="7" t="n">
        <f aca="false">E21*G21</f>
        <v>360</v>
      </c>
      <c r="J21" s="7" t="n">
        <f aca="false">F21*G21</f>
        <v>630</v>
      </c>
      <c r="K21" s="7" t="n">
        <f aca="false">J21-I21</f>
        <v>270</v>
      </c>
      <c r="L21" s="8" t="str">
        <f aca="false">IF(G21&lt;H21,"REORDER","OK")</f>
        <v>REORDER</v>
      </c>
    </row>
    <row r="22" customFormat="false" ht="15" hidden="false" customHeight="false" outlineLevel="0" collapsed="false">
      <c r="A22" s="9" t="s">
        <v>54</v>
      </c>
      <c r="B22" s="10" t="s">
        <v>55</v>
      </c>
      <c r="C22" s="9" t="s">
        <v>50</v>
      </c>
      <c r="D22" s="9" t="s">
        <v>51</v>
      </c>
      <c r="E22" s="11" t="n">
        <v>55</v>
      </c>
      <c r="F22" s="11" t="n">
        <v>85</v>
      </c>
      <c r="G22" s="9" t="n">
        <v>7</v>
      </c>
      <c r="H22" s="9" t="n">
        <v>10</v>
      </c>
      <c r="I22" s="7" t="n">
        <f aca="false">E22*G22</f>
        <v>385</v>
      </c>
      <c r="J22" s="7" t="n">
        <f aca="false">F22*G22</f>
        <v>595</v>
      </c>
      <c r="K22" s="7" t="n">
        <f aca="false">J22-I22</f>
        <v>210</v>
      </c>
      <c r="L22" s="8" t="str">
        <f aca="false">IF(G22&lt;H22,"REORDER","OK")</f>
        <v>REORDER</v>
      </c>
    </row>
    <row r="23" customFormat="false" ht="15" hidden="false" customHeight="false" outlineLevel="0" collapsed="false">
      <c r="A23" s="4" t="s">
        <v>56</v>
      </c>
      <c r="B23" s="5" t="s">
        <v>57</v>
      </c>
      <c r="C23" s="4" t="s">
        <v>50</v>
      </c>
      <c r="D23" s="4" t="s">
        <v>51</v>
      </c>
      <c r="E23" s="6" t="n">
        <v>90</v>
      </c>
      <c r="F23" s="6" t="n">
        <v>140</v>
      </c>
      <c r="G23" s="4" t="n">
        <v>5</v>
      </c>
      <c r="H23" s="4" t="n">
        <v>8</v>
      </c>
      <c r="I23" s="7" t="n">
        <f aca="false">E23*G23</f>
        <v>450</v>
      </c>
      <c r="J23" s="7" t="n">
        <f aca="false">F23*G23</f>
        <v>700</v>
      </c>
      <c r="K23" s="7" t="n">
        <f aca="false">J23-I23</f>
        <v>250</v>
      </c>
      <c r="L23" s="8" t="str">
        <f aca="false">IF(G23&lt;H23,"REORDER","OK")</f>
        <v>REORDER</v>
      </c>
    </row>
    <row r="24" customFormat="false" ht="15" hidden="false" customHeight="false" outlineLevel="0" collapsed="false">
      <c r="A24" s="9" t="s">
        <v>58</v>
      </c>
      <c r="B24" s="10" t="s">
        <v>59</v>
      </c>
      <c r="C24" s="9" t="s">
        <v>50</v>
      </c>
      <c r="D24" s="9" t="s">
        <v>51</v>
      </c>
      <c r="E24" s="11" t="n">
        <v>75</v>
      </c>
      <c r="F24" s="11" t="n">
        <v>110</v>
      </c>
      <c r="G24" s="9" t="n">
        <v>22</v>
      </c>
      <c r="H24" s="9" t="n">
        <v>25</v>
      </c>
      <c r="I24" s="7" t="n">
        <f aca="false">E24*G24</f>
        <v>1650</v>
      </c>
      <c r="J24" s="7" t="n">
        <f aca="false">F24*G24</f>
        <v>2420</v>
      </c>
      <c r="K24" s="7" t="n">
        <f aca="false">J24-I24</f>
        <v>770</v>
      </c>
      <c r="L24" s="8" t="str">
        <f aca="false">IF(G24&lt;H24,"REORDER","OK")</f>
        <v>REORDER</v>
      </c>
    </row>
    <row r="25" customFormat="false" ht="15" hidden="false" customHeight="false" outlineLevel="0" collapsed="false">
      <c r="A25" s="4" t="s">
        <v>60</v>
      </c>
      <c r="B25" s="5" t="s">
        <v>61</v>
      </c>
      <c r="C25" s="4" t="s">
        <v>50</v>
      </c>
      <c r="D25" s="4" t="s">
        <v>62</v>
      </c>
      <c r="E25" s="6" t="n">
        <v>8</v>
      </c>
      <c r="F25" s="6" t="n">
        <v>15</v>
      </c>
      <c r="G25" s="4" t="n">
        <v>65</v>
      </c>
      <c r="H25" s="4" t="n">
        <v>30</v>
      </c>
      <c r="I25" s="7" t="n">
        <f aca="false">E25*G25</f>
        <v>520</v>
      </c>
      <c r="J25" s="7" t="n">
        <f aca="false">F25*G25</f>
        <v>975</v>
      </c>
      <c r="K25" s="7" t="n">
        <f aca="false">J25-I25</f>
        <v>455</v>
      </c>
      <c r="L25" s="8" t="str">
        <f aca="false">IF(G25&lt;H25,"REORDER","OK")</f>
        <v>OK</v>
      </c>
    </row>
    <row r="26" customFormat="false" ht="15" hidden="false" customHeight="false" outlineLevel="0" collapsed="false">
      <c r="A26" s="9" t="s">
        <v>63</v>
      </c>
      <c r="B26" s="10" t="s">
        <v>64</v>
      </c>
      <c r="C26" s="9" t="s">
        <v>50</v>
      </c>
      <c r="D26" s="9" t="s">
        <v>62</v>
      </c>
      <c r="E26" s="11" t="n">
        <v>60</v>
      </c>
      <c r="F26" s="11" t="n">
        <v>95</v>
      </c>
      <c r="G26" s="9" t="n">
        <v>11</v>
      </c>
      <c r="H26" s="9" t="n">
        <v>15</v>
      </c>
      <c r="I26" s="7" t="n">
        <f aca="false">E26*G26</f>
        <v>660</v>
      </c>
      <c r="J26" s="7" t="n">
        <f aca="false">F26*G26</f>
        <v>1045</v>
      </c>
      <c r="K26" s="7" t="n">
        <f aca="false">J26-I26</f>
        <v>385</v>
      </c>
      <c r="L26" s="8" t="str">
        <f aca="false">IF(G26&lt;H26,"REORDER","OK")</f>
        <v>REORDER</v>
      </c>
    </row>
    <row r="27" customFormat="false" ht="15" hidden="false" customHeight="false" outlineLevel="0" collapsed="false">
      <c r="A27" s="4" t="s">
        <v>65</v>
      </c>
      <c r="B27" s="5" t="s">
        <v>66</v>
      </c>
      <c r="C27" s="4" t="s">
        <v>50</v>
      </c>
      <c r="D27" s="4" t="s">
        <v>62</v>
      </c>
      <c r="E27" s="6" t="n">
        <v>85</v>
      </c>
      <c r="F27" s="6" t="n">
        <v>130</v>
      </c>
      <c r="G27" s="4" t="n">
        <v>9</v>
      </c>
      <c r="H27" s="4" t="n">
        <v>12</v>
      </c>
      <c r="I27" s="7" t="n">
        <f aca="false">E27*G27</f>
        <v>765</v>
      </c>
      <c r="J27" s="7" t="n">
        <f aca="false">F27*G27</f>
        <v>1170</v>
      </c>
      <c r="K27" s="7" t="n">
        <f aca="false">J27-I27</f>
        <v>405</v>
      </c>
      <c r="L27" s="8" t="str">
        <f aca="false">IF(G27&lt;H27,"REORDER","OK")</f>
        <v>REORDER</v>
      </c>
    </row>
    <row r="28" customFormat="false" ht="15" hidden="false" customHeight="false" outlineLevel="0" collapsed="false">
      <c r="A28" s="9" t="s">
        <v>67</v>
      </c>
      <c r="B28" s="10" t="s">
        <v>68</v>
      </c>
      <c r="C28" s="9" t="s">
        <v>50</v>
      </c>
      <c r="D28" s="9" t="s">
        <v>62</v>
      </c>
      <c r="E28" s="11" t="n">
        <v>40</v>
      </c>
      <c r="F28" s="11" t="n">
        <v>65</v>
      </c>
      <c r="G28" s="9" t="n">
        <v>16</v>
      </c>
      <c r="H28" s="9" t="n">
        <v>15</v>
      </c>
      <c r="I28" s="7" t="n">
        <f aca="false">E28*G28</f>
        <v>640</v>
      </c>
      <c r="J28" s="7" t="n">
        <f aca="false">F28*G28</f>
        <v>1040</v>
      </c>
      <c r="K28" s="7" t="n">
        <f aca="false">J28-I28</f>
        <v>400</v>
      </c>
      <c r="L28" s="8" t="str">
        <f aca="false">IF(G28&lt;H28,"REORDER","OK")</f>
        <v>OK</v>
      </c>
    </row>
    <row r="29" customFormat="false" ht="15" hidden="false" customHeight="false" outlineLevel="0" collapsed="false">
      <c r="A29" s="4" t="s">
        <v>69</v>
      </c>
      <c r="B29" s="5" t="s">
        <v>70</v>
      </c>
      <c r="C29" s="4" t="s">
        <v>50</v>
      </c>
      <c r="D29" s="4" t="s">
        <v>62</v>
      </c>
      <c r="E29" s="6" t="n">
        <v>25</v>
      </c>
      <c r="F29" s="6" t="n">
        <v>45</v>
      </c>
      <c r="G29" s="4" t="n">
        <v>30</v>
      </c>
      <c r="H29" s="4" t="n">
        <v>20</v>
      </c>
      <c r="I29" s="7" t="n">
        <f aca="false">E29*G29</f>
        <v>750</v>
      </c>
      <c r="J29" s="7" t="n">
        <f aca="false">F29*G29</f>
        <v>1350</v>
      </c>
      <c r="K29" s="7" t="n">
        <f aca="false">J29-I29</f>
        <v>600</v>
      </c>
      <c r="L29" s="8" t="str">
        <f aca="false">IF(G29&lt;H29,"REORDER","OK")</f>
        <v>OK</v>
      </c>
    </row>
    <row r="30" customFormat="false" ht="15" hidden="false" customHeight="false" outlineLevel="0" collapsed="false">
      <c r="A30" s="9" t="s">
        <v>71</v>
      </c>
      <c r="B30" s="10" t="s">
        <v>72</v>
      </c>
      <c r="C30" s="9" t="s">
        <v>73</v>
      </c>
      <c r="D30" s="9" t="s">
        <v>74</v>
      </c>
      <c r="E30" s="11" t="n">
        <v>280</v>
      </c>
      <c r="F30" s="11" t="n">
        <v>340</v>
      </c>
      <c r="G30" s="9" t="n">
        <v>14</v>
      </c>
      <c r="H30" s="9" t="n">
        <v>15</v>
      </c>
      <c r="I30" s="7" t="n">
        <f aca="false">E30*G30</f>
        <v>3920</v>
      </c>
      <c r="J30" s="7" t="n">
        <f aca="false">F30*G30</f>
        <v>4760</v>
      </c>
      <c r="K30" s="7" t="n">
        <f aca="false">J30-I30</f>
        <v>840</v>
      </c>
      <c r="L30" s="8" t="str">
        <f aca="false">IF(G30&lt;H30,"REORDER","OK")</f>
        <v>REORDER</v>
      </c>
    </row>
    <row r="31" customFormat="false" ht="15" hidden="false" customHeight="false" outlineLevel="0" collapsed="false">
      <c r="A31" s="4" t="s">
        <v>75</v>
      </c>
      <c r="B31" s="5" t="s">
        <v>76</v>
      </c>
      <c r="C31" s="4" t="s">
        <v>73</v>
      </c>
      <c r="D31" s="4" t="s">
        <v>74</v>
      </c>
      <c r="E31" s="6" t="n">
        <v>220</v>
      </c>
      <c r="F31" s="6" t="n">
        <v>270</v>
      </c>
      <c r="G31" s="4" t="n">
        <v>18</v>
      </c>
      <c r="H31" s="4" t="n">
        <v>20</v>
      </c>
      <c r="I31" s="7" t="n">
        <f aca="false">E31*G31</f>
        <v>3960</v>
      </c>
      <c r="J31" s="7" t="n">
        <f aca="false">F31*G31</f>
        <v>4860</v>
      </c>
      <c r="K31" s="7" t="n">
        <f aca="false">J31-I31</f>
        <v>900</v>
      </c>
      <c r="L31" s="8" t="str">
        <f aca="false">IF(G31&lt;H31,"REORDER","OK")</f>
        <v>REORDER</v>
      </c>
    </row>
    <row r="32" customFormat="false" ht="15" hidden="false" customHeight="false" outlineLevel="0" collapsed="false">
      <c r="A32" s="9" t="s">
        <v>77</v>
      </c>
      <c r="B32" s="10" t="s">
        <v>78</v>
      </c>
      <c r="C32" s="9" t="s">
        <v>73</v>
      </c>
      <c r="D32" s="9" t="s">
        <v>74</v>
      </c>
      <c r="E32" s="11" t="n">
        <v>42</v>
      </c>
      <c r="F32" s="11" t="n">
        <v>55</v>
      </c>
      <c r="G32" s="9" t="n">
        <v>40</v>
      </c>
      <c r="H32" s="9" t="n">
        <v>30</v>
      </c>
      <c r="I32" s="7" t="n">
        <f aca="false">E32*G32</f>
        <v>1680</v>
      </c>
      <c r="J32" s="7" t="n">
        <f aca="false">F32*G32</f>
        <v>2200</v>
      </c>
      <c r="K32" s="7" t="n">
        <f aca="false">J32-I32</f>
        <v>520</v>
      </c>
      <c r="L32" s="8" t="str">
        <f aca="false">IF(G32&lt;H32,"REORDER","OK")</f>
        <v>OK</v>
      </c>
    </row>
    <row r="33" customFormat="false" ht="15" hidden="false" customHeight="false" outlineLevel="0" collapsed="false">
      <c r="A33" s="4" t="s">
        <v>79</v>
      </c>
      <c r="B33" s="5" t="s">
        <v>80</v>
      </c>
      <c r="C33" s="4" t="s">
        <v>73</v>
      </c>
      <c r="D33" s="4" t="s">
        <v>74</v>
      </c>
      <c r="E33" s="6" t="n">
        <v>18</v>
      </c>
      <c r="F33" s="6" t="n">
        <v>25</v>
      </c>
      <c r="G33" s="4" t="n">
        <v>55</v>
      </c>
      <c r="H33" s="4" t="n">
        <v>25</v>
      </c>
      <c r="I33" s="7" t="n">
        <f aca="false">E33*G33</f>
        <v>990</v>
      </c>
      <c r="J33" s="7" t="n">
        <f aca="false">F33*G33</f>
        <v>1375</v>
      </c>
      <c r="K33" s="7" t="n">
        <f aca="false">J33-I33</f>
        <v>385</v>
      </c>
      <c r="L33" s="8" t="str">
        <f aca="false">IF(G33&lt;H33,"REORDER","OK")</f>
        <v>OK</v>
      </c>
    </row>
    <row r="34" customFormat="false" ht="15" hidden="false" customHeight="false" outlineLevel="0" collapsed="false">
      <c r="A34" s="9" t="s">
        <v>81</v>
      </c>
      <c r="B34" s="10" t="s">
        <v>82</v>
      </c>
      <c r="C34" s="9" t="s">
        <v>73</v>
      </c>
      <c r="D34" s="9" t="s">
        <v>74</v>
      </c>
      <c r="E34" s="11" t="n">
        <v>130</v>
      </c>
      <c r="F34" s="11" t="n">
        <v>165</v>
      </c>
      <c r="G34" s="9" t="n">
        <v>12</v>
      </c>
      <c r="H34" s="9" t="n">
        <v>15</v>
      </c>
      <c r="I34" s="7" t="n">
        <f aca="false">E34*G34</f>
        <v>1560</v>
      </c>
      <c r="J34" s="7" t="n">
        <f aca="false">F34*G34</f>
        <v>1980</v>
      </c>
      <c r="K34" s="7" t="n">
        <f aca="false">J34-I34</f>
        <v>420</v>
      </c>
      <c r="L34" s="8" t="str">
        <f aca="false">IF(G34&lt;H34,"REORDER","OK")</f>
        <v>REORDER</v>
      </c>
    </row>
    <row r="35" customFormat="false" ht="15" hidden="false" customHeight="false" outlineLevel="0" collapsed="false">
      <c r="A35" s="4" t="s">
        <v>83</v>
      </c>
      <c r="B35" s="5" t="s">
        <v>84</v>
      </c>
      <c r="C35" s="4" t="s">
        <v>73</v>
      </c>
      <c r="D35" s="4" t="s">
        <v>85</v>
      </c>
      <c r="E35" s="6" t="n">
        <v>90</v>
      </c>
      <c r="F35" s="6" t="n">
        <v>120</v>
      </c>
      <c r="G35" s="4" t="n">
        <v>25</v>
      </c>
      <c r="H35" s="4" t="n">
        <v>20</v>
      </c>
      <c r="I35" s="7" t="n">
        <f aca="false">E35*G35</f>
        <v>2250</v>
      </c>
      <c r="J35" s="7" t="n">
        <f aca="false">F35*G35</f>
        <v>3000</v>
      </c>
      <c r="K35" s="7" t="n">
        <f aca="false">J35-I35</f>
        <v>750</v>
      </c>
      <c r="L35" s="8" t="str">
        <f aca="false">IF(G35&lt;H35,"REORDER","OK")</f>
        <v>OK</v>
      </c>
    </row>
    <row r="36" customFormat="false" ht="15" hidden="false" customHeight="false" outlineLevel="0" collapsed="false">
      <c r="A36" s="9" t="s">
        <v>86</v>
      </c>
      <c r="B36" s="10" t="s">
        <v>87</v>
      </c>
      <c r="C36" s="9" t="s">
        <v>73</v>
      </c>
      <c r="D36" s="9" t="s">
        <v>85</v>
      </c>
      <c r="E36" s="11" t="n">
        <v>140</v>
      </c>
      <c r="F36" s="11" t="n">
        <v>190</v>
      </c>
      <c r="G36" s="9" t="n">
        <v>10</v>
      </c>
      <c r="H36" s="9" t="n">
        <v>12</v>
      </c>
      <c r="I36" s="7" t="n">
        <f aca="false">E36*G36</f>
        <v>1400</v>
      </c>
      <c r="J36" s="7" t="n">
        <f aca="false">F36*G36</f>
        <v>1900</v>
      </c>
      <c r="K36" s="7" t="n">
        <f aca="false">J36-I36</f>
        <v>500</v>
      </c>
      <c r="L36" s="8" t="str">
        <f aca="false">IF(G36&lt;H36,"REORDER","OK")</f>
        <v>REORDER</v>
      </c>
    </row>
    <row r="37" customFormat="false" ht="15" hidden="false" customHeight="false" outlineLevel="0" collapsed="false">
      <c r="A37" s="4" t="s">
        <v>88</v>
      </c>
      <c r="B37" s="5" t="s">
        <v>89</v>
      </c>
      <c r="C37" s="4" t="s">
        <v>73</v>
      </c>
      <c r="D37" s="4" t="s">
        <v>85</v>
      </c>
      <c r="E37" s="6" t="n">
        <v>20</v>
      </c>
      <c r="F37" s="6" t="n">
        <v>30</v>
      </c>
      <c r="G37" s="4" t="n">
        <v>80</v>
      </c>
      <c r="H37" s="4" t="n">
        <v>40</v>
      </c>
      <c r="I37" s="7" t="n">
        <f aca="false">E37*G37</f>
        <v>1600</v>
      </c>
      <c r="J37" s="7" t="n">
        <f aca="false">F37*G37</f>
        <v>2400</v>
      </c>
      <c r="K37" s="7" t="n">
        <f aca="false">J37-I37</f>
        <v>800</v>
      </c>
      <c r="L37" s="8" t="str">
        <f aca="false">IF(G37&lt;H37,"REORDER","OK")</f>
        <v>OK</v>
      </c>
    </row>
    <row r="38" customFormat="false" ht="15" hidden="false" customHeight="false" outlineLevel="0" collapsed="false">
      <c r="A38" s="9" t="s">
        <v>90</v>
      </c>
      <c r="B38" s="10" t="s">
        <v>91</v>
      </c>
      <c r="C38" s="9" t="s">
        <v>73</v>
      </c>
      <c r="D38" s="9" t="s">
        <v>85</v>
      </c>
      <c r="E38" s="11" t="n">
        <v>12</v>
      </c>
      <c r="F38" s="11" t="n">
        <v>18</v>
      </c>
      <c r="G38" s="9" t="n">
        <v>95</v>
      </c>
      <c r="H38" s="9" t="n">
        <v>50</v>
      </c>
      <c r="I38" s="7" t="n">
        <f aca="false">E38*G38</f>
        <v>1140</v>
      </c>
      <c r="J38" s="7" t="n">
        <f aca="false">F38*G38</f>
        <v>1710</v>
      </c>
      <c r="K38" s="7" t="n">
        <f aca="false">J38-I38</f>
        <v>570</v>
      </c>
      <c r="L38" s="8" t="str">
        <f aca="false">IF(G38&lt;H38,"REORDER","OK")</f>
        <v>OK</v>
      </c>
    </row>
    <row r="39" customFormat="false" ht="15" hidden="false" customHeight="false" outlineLevel="0" collapsed="false">
      <c r="A39" s="4" t="s">
        <v>92</v>
      </c>
      <c r="B39" s="5" t="s">
        <v>93</v>
      </c>
      <c r="C39" s="4" t="s">
        <v>73</v>
      </c>
      <c r="D39" s="4" t="s">
        <v>85</v>
      </c>
      <c r="E39" s="6" t="n">
        <v>110</v>
      </c>
      <c r="F39" s="6" t="n">
        <v>140</v>
      </c>
      <c r="G39" s="4" t="n">
        <v>16</v>
      </c>
      <c r="H39" s="4" t="n">
        <v>15</v>
      </c>
      <c r="I39" s="7" t="n">
        <f aca="false">E39*G39</f>
        <v>1760</v>
      </c>
      <c r="J39" s="7" t="n">
        <f aca="false">F39*G39</f>
        <v>2240</v>
      </c>
      <c r="K39" s="7" t="n">
        <f aca="false">J39-I39</f>
        <v>480</v>
      </c>
      <c r="L39" s="8" t="str">
        <f aca="false">IF(G39&lt;H39,"REORDER","OK")</f>
        <v>OK</v>
      </c>
    </row>
    <row r="40" customFormat="false" ht="15" hidden="false" customHeight="false" outlineLevel="0" collapsed="false">
      <c r="A40" s="9" t="s">
        <v>94</v>
      </c>
      <c r="B40" s="10" t="s">
        <v>95</v>
      </c>
      <c r="C40" s="9" t="s">
        <v>96</v>
      </c>
      <c r="D40" s="9" t="s">
        <v>97</v>
      </c>
      <c r="E40" s="11" t="n">
        <v>25</v>
      </c>
      <c r="F40" s="11" t="n">
        <v>40</v>
      </c>
      <c r="G40" s="9" t="n">
        <v>50</v>
      </c>
      <c r="H40" s="9" t="n">
        <v>30</v>
      </c>
      <c r="I40" s="7" t="n">
        <f aca="false">E40*G40</f>
        <v>1250</v>
      </c>
      <c r="J40" s="7" t="n">
        <f aca="false">F40*G40</f>
        <v>2000</v>
      </c>
      <c r="K40" s="7" t="n">
        <f aca="false">J40-I40</f>
        <v>750</v>
      </c>
      <c r="L40" s="8" t="str">
        <f aca="false">IF(G40&lt;H40,"REORDER","OK")</f>
        <v>OK</v>
      </c>
    </row>
    <row r="41" customFormat="false" ht="15" hidden="false" customHeight="false" outlineLevel="0" collapsed="false">
      <c r="A41" s="4" t="s">
        <v>98</v>
      </c>
      <c r="B41" s="5" t="s">
        <v>99</v>
      </c>
      <c r="C41" s="4" t="s">
        <v>96</v>
      </c>
      <c r="D41" s="4" t="s">
        <v>97</v>
      </c>
      <c r="E41" s="6" t="n">
        <v>60</v>
      </c>
      <c r="F41" s="6" t="n">
        <v>95</v>
      </c>
      <c r="G41" s="4" t="n">
        <v>20</v>
      </c>
      <c r="H41" s="4" t="n">
        <v>20</v>
      </c>
      <c r="I41" s="7" t="n">
        <f aca="false">E41*G41</f>
        <v>1200</v>
      </c>
      <c r="J41" s="7" t="n">
        <f aca="false">F41*G41</f>
        <v>1900</v>
      </c>
      <c r="K41" s="7" t="n">
        <f aca="false">J41-I41</f>
        <v>700</v>
      </c>
      <c r="L41" s="8" t="str">
        <f aca="false">IF(G41&lt;H41,"REORDER","OK")</f>
        <v>OK</v>
      </c>
    </row>
    <row r="42" customFormat="false" ht="15" hidden="false" customHeight="false" outlineLevel="0" collapsed="false">
      <c r="A42" s="9" t="s">
        <v>100</v>
      </c>
      <c r="B42" s="10" t="s">
        <v>101</v>
      </c>
      <c r="C42" s="9" t="s">
        <v>96</v>
      </c>
      <c r="D42" s="9" t="s">
        <v>97</v>
      </c>
      <c r="E42" s="11" t="n">
        <v>45</v>
      </c>
      <c r="F42" s="11" t="n">
        <v>65</v>
      </c>
      <c r="G42" s="9" t="n">
        <v>30</v>
      </c>
      <c r="H42" s="9" t="n">
        <v>25</v>
      </c>
      <c r="I42" s="7" t="n">
        <f aca="false">E42*G42</f>
        <v>1350</v>
      </c>
      <c r="J42" s="7" t="n">
        <f aca="false">F42*G42</f>
        <v>1950</v>
      </c>
      <c r="K42" s="7" t="n">
        <f aca="false">J42-I42</f>
        <v>600</v>
      </c>
      <c r="L42" s="8" t="str">
        <f aca="false">IF(G42&lt;H42,"REORDER","OK")</f>
        <v>OK</v>
      </c>
    </row>
    <row r="43" customFormat="false" ht="15" hidden="false" customHeight="false" outlineLevel="0" collapsed="false">
      <c r="A43" s="4" t="s">
        <v>102</v>
      </c>
      <c r="B43" s="5" t="s">
        <v>103</v>
      </c>
      <c r="C43" s="4" t="s">
        <v>96</v>
      </c>
      <c r="D43" s="4" t="s">
        <v>97</v>
      </c>
      <c r="E43" s="6" t="n">
        <v>10</v>
      </c>
      <c r="F43" s="6" t="n">
        <v>18</v>
      </c>
      <c r="G43" s="4" t="n">
        <v>40</v>
      </c>
      <c r="H43" s="4" t="n">
        <v>25</v>
      </c>
      <c r="I43" s="7" t="n">
        <f aca="false">E43*G43</f>
        <v>400</v>
      </c>
      <c r="J43" s="7" t="n">
        <f aca="false">F43*G43</f>
        <v>720</v>
      </c>
      <c r="K43" s="7" t="n">
        <f aca="false">J43-I43</f>
        <v>320</v>
      </c>
      <c r="L43" s="8" t="str">
        <f aca="false">IF(G43&lt;H43,"REORDER","OK")</f>
        <v>OK</v>
      </c>
    </row>
    <row r="44" customFormat="false" ht="15" hidden="false" customHeight="false" outlineLevel="0" collapsed="false">
      <c r="A44" s="9" t="s">
        <v>104</v>
      </c>
      <c r="B44" s="10" t="s">
        <v>105</v>
      </c>
      <c r="C44" s="9" t="s">
        <v>96</v>
      </c>
      <c r="D44" s="9" t="s">
        <v>97</v>
      </c>
      <c r="E44" s="11" t="n">
        <v>55</v>
      </c>
      <c r="F44" s="11" t="n">
        <v>85</v>
      </c>
      <c r="G44" s="9" t="n">
        <v>13</v>
      </c>
      <c r="H44" s="9" t="n">
        <v>15</v>
      </c>
      <c r="I44" s="7" t="n">
        <f aca="false">E44*G44</f>
        <v>715</v>
      </c>
      <c r="J44" s="7" t="n">
        <f aca="false">F44*G44</f>
        <v>1105</v>
      </c>
      <c r="K44" s="7" t="n">
        <f aca="false">J44-I44</f>
        <v>390</v>
      </c>
      <c r="L44" s="8" t="str">
        <f aca="false">IF(G44&lt;H44,"REORDER","OK")</f>
        <v>REORDER</v>
      </c>
    </row>
    <row r="45" customFormat="false" ht="15" hidden="false" customHeight="false" outlineLevel="0" collapsed="false">
      <c r="A45" s="4" t="s">
        <v>106</v>
      </c>
      <c r="B45" s="5" t="s">
        <v>107</v>
      </c>
      <c r="C45" s="4" t="s">
        <v>96</v>
      </c>
      <c r="D45" s="4" t="s">
        <v>108</v>
      </c>
      <c r="E45" s="6" t="n">
        <v>70</v>
      </c>
      <c r="F45" s="6" t="n">
        <v>105</v>
      </c>
      <c r="G45" s="4" t="n">
        <v>9</v>
      </c>
      <c r="H45" s="4" t="n">
        <v>10</v>
      </c>
      <c r="I45" s="7" t="n">
        <f aca="false">E45*G45</f>
        <v>630</v>
      </c>
      <c r="J45" s="7" t="n">
        <f aca="false">F45*G45</f>
        <v>945</v>
      </c>
      <c r="K45" s="7" t="n">
        <f aca="false">J45-I45</f>
        <v>315</v>
      </c>
      <c r="L45" s="8" t="str">
        <f aca="false">IF(G45&lt;H45,"REORDER","OK")</f>
        <v>REORDER</v>
      </c>
    </row>
    <row r="46" customFormat="false" ht="15" hidden="false" customHeight="false" outlineLevel="0" collapsed="false">
      <c r="A46" s="9" t="s">
        <v>109</v>
      </c>
      <c r="B46" s="10" t="s">
        <v>110</v>
      </c>
      <c r="C46" s="9" t="s">
        <v>96</v>
      </c>
      <c r="D46" s="9" t="s">
        <v>108</v>
      </c>
      <c r="E46" s="11" t="n">
        <v>35</v>
      </c>
      <c r="F46" s="11" t="n">
        <v>55</v>
      </c>
      <c r="G46" s="9" t="n">
        <v>27</v>
      </c>
      <c r="H46" s="9" t="n">
        <v>20</v>
      </c>
      <c r="I46" s="7" t="n">
        <f aca="false">E46*G46</f>
        <v>945</v>
      </c>
      <c r="J46" s="7" t="n">
        <f aca="false">F46*G46</f>
        <v>1485</v>
      </c>
      <c r="K46" s="7" t="n">
        <f aca="false">J46-I46</f>
        <v>540</v>
      </c>
      <c r="L46" s="8" t="str">
        <f aca="false">IF(G46&lt;H46,"REORDER","OK")</f>
        <v>OK</v>
      </c>
    </row>
    <row r="47" customFormat="false" ht="15" hidden="false" customHeight="false" outlineLevel="0" collapsed="false">
      <c r="A47" s="4" t="s">
        <v>111</v>
      </c>
      <c r="B47" s="5" t="s">
        <v>112</v>
      </c>
      <c r="C47" s="4" t="s">
        <v>96</v>
      </c>
      <c r="D47" s="4" t="s">
        <v>108</v>
      </c>
      <c r="E47" s="6" t="n">
        <v>30</v>
      </c>
      <c r="F47" s="6" t="n">
        <v>50</v>
      </c>
      <c r="G47" s="4" t="n">
        <v>18</v>
      </c>
      <c r="H47" s="4" t="n">
        <v>15</v>
      </c>
      <c r="I47" s="7" t="n">
        <f aca="false">E47*G47</f>
        <v>540</v>
      </c>
      <c r="J47" s="7" t="n">
        <f aca="false">F47*G47</f>
        <v>900</v>
      </c>
      <c r="K47" s="7" t="n">
        <f aca="false">J47-I47</f>
        <v>360</v>
      </c>
      <c r="L47" s="8" t="str">
        <f aca="false">IF(G47&lt;H47,"REORDER","OK")</f>
        <v>OK</v>
      </c>
    </row>
    <row r="48" customFormat="false" ht="15" hidden="false" customHeight="false" outlineLevel="0" collapsed="false">
      <c r="A48" s="9" t="s">
        <v>113</v>
      </c>
      <c r="B48" s="10" t="s">
        <v>114</v>
      </c>
      <c r="C48" s="9" t="s">
        <v>115</v>
      </c>
      <c r="D48" s="9" t="s">
        <v>116</v>
      </c>
      <c r="E48" s="11" t="n">
        <v>60</v>
      </c>
      <c r="F48" s="11" t="n">
        <v>100</v>
      </c>
      <c r="G48" s="9" t="n">
        <v>22</v>
      </c>
      <c r="H48" s="9" t="n">
        <v>15</v>
      </c>
      <c r="I48" s="7" t="n">
        <f aca="false">E48*G48</f>
        <v>1320</v>
      </c>
      <c r="J48" s="7" t="n">
        <f aca="false">F48*G48</f>
        <v>2200</v>
      </c>
      <c r="K48" s="7" t="n">
        <f aca="false">J48-I48</f>
        <v>880</v>
      </c>
      <c r="L48" s="8" t="str">
        <f aca="false">IF(G48&lt;H48,"REORDER","OK")</f>
        <v>OK</v>
      </c>
    </row>
    <row r="49" customFormat="false" ht="15" hidden="false" customHeight="false" outlineLevel="0" collapsed="false">
      <c r="A49" s="4" t="s">
        <v>117</v>
      </c>
      <c r="B49" s="5" t="s">
        <v>118</v>
      </c>
      <c r="C49" s="4" t="s">
        <v>115</v>
      </c>
      <c r="D49" s="4" t="s">
        <v>116</v>
      </c>
      <c r="E49" s="6" t="n">
        <v>150</v>
      </c>
      <c r="F49" s="6" t="n">
        <v>220</v>
      </c>
      <c r="G49" s="4" t="n">
        <v>8</v>
      </c>
      <c r="H49" s="4" t="n">
        <v>10</v>
      </c>
      <c r="I49" s="7" t="n">
        <f aca="false">E49*G49</f>
        <v>1200</v>
      </c>
      <c r="J49" s="7" t="n">
        <f aca="false">F49*G49</f>
        <v>1760</v>
      </c>
      <c r="K49" s="7" t="n">
        <f aca="false">J49-I49</f>
        <v>560</v>
      </c>
      <c r="L49" s="8" t="str">
        <f aca="false">IF(G49&lt;H49,"REORDER","OK")</f>
        <v>REORDER</v>
      </c>
    </row>
    <row r="50" customFormat="false" ht="15" hidden="false" customHeight="false" outlineLevel="0" collapsed="false">
      <c r="A50" s="9" t="s">
        <v>119</v>
      </c>
      <c r="B50" s="10" t="s">
        <v>120</v>
      </c>
      <c r="C50" s="9" t="s">
        <v>115</v>
      </c>
      <c r="D50" s="9" t="s">
        <v>116</v>
      </c>
      <c r="E50" s="11" t="n">
        <v>45</v>
      </c>
      <c r="F50" s="11" t="n">
        <v>75</v>
      </c>
      <c r="G50" s="9" t="n">
        <v>35</v>
      </c>
      <c r="H50" s="9" t="n">
        <v>25</v>
      </c>
      <c r="I50" s="7" t="n">
        <f aca="false">E50*G50</f>
        <v>1575</v>
      </c>
      <c r="J50" s="7" t="n">
        <f aca="false">F50*G50</f>
        <v>2625</v>
      </c>
      <c r="K50" s="7" t="n">
        <f aca="false">J50-I50</f>
        <v>1050</v>
      </c>
      <c r="L50" s="8" t="str">
        <f aca="false">IF(G50&lt;H50,"REORDER","OK")</f>
        <v>OK</v>
      </c>
    </row>
    <row r="51" customFormat="false" ht="15" hidden="false" customHeight="false" outlineLevel="0" collapsed="false">
      <c r="A51" s="4" t="s">
        <v>121</v>
      </c>
      <c r="B51" s="5" t="s">
        <v>122</v>
      </c>
      <c r="C51" s="4" t="s">
        <v>115</v>
      </c>
      <c r="D51" s="4" t="s">
        <v>116</v>
      </c>
      <c r="E51" s="6" t="n">
        <v>180</v>
      </c>
      <c r="F51" s="6" t="n">
        <v>260</v>
      </c>
      <c r="G51" s="4" t="n">
        <v>6</v>
      </c>
      <c r="H51" s="4" t="n">
        <v>8</v>
      </c>
      <c r="I51" s="7" t="n">
        <f aca="false">E51*G51</f>
        <v>1080</v>
      </c>
      <c r="J51" s="7" t="n">
        <f aca="false">F51*G51</f>
        <v>1560</v>
      </c>
      <c r="K51" s="7" t="n">
        <f aca="false">J51-I51</f>
        <v>480</v>
      </c>
      <c r="L51" s="8" t="str">
        <f aca="false">IF(G51&lt;H51,"REORDER","OK")</f>
        <v>REORDER</v>
      </c>
    </row>
    <row r="52" customFormat="false" ht="15" hidden="false" customHeight="false" outlineLevel="0" collapsed="false">
      <c r="A52" s="9" t="s">
        <v>123</v>
      </c>
      <c r="B52" s="10" t="s">
        <v>124</v>
      </c>
      <c r="C52" s="9" t="s">
        <v>115</v>
      </c>
      <c r="D52" s="9" t="s">
        <v>116</v>
      </c>
      <c r="E52" s="11" t="n">
        <v>40</v>
      </c>
      <c r="F52" s="11" t="n">
        <v>65</v>
      </c>
      <c r="G52" s="9" t="n">
        <v>48</v>
      </c>
      <c r="H52" s="9" t="n">
        <v>30</v>
      </c>
      <c r="I52" s="7" t="n">
        <f aca="false">E52*G52</f>
        <v>1920</v>
      </c>
      <c r="J52" s="7" t="n">
        <f aca="false">F52*G52</f>
        <v>3120</v>
      </c>
      <c r="K52" s="7" t="n">
        <f aca="false">J52-I52</f>
        <v>1200</v>
      </c>
      <c r="L52" s="8" t="str">
        <f aca="false">IF(G52&lt;H52,"REORDER","OK")</f>
        <v>OK</v>
      </c>
    </row>
    <row r="53" customFormat="false" ht="15" hidden="false" customHeight="false" outlineLevel="0" collapsed="false">
      <c r="A53" s="4" t="s">
        <v>125</v>
      </c>
      <c r="B53" s="5" t="s">
        <v>126</v>
      </c>
      <c r="C53" s="4" t="s">
        <v>115</v>
      </c>
      <c r="D53" s="4" t="s">
        <v>127</v>
      </c>
      <c r="E53" s="6" t="n">
        <v>120</v>
      </c>
      <c r="F53" s="6" t="n">
        <v>190</v>
      </c>
      <c r="G53" s="4" t="n">
        <v>10</v>
      </c>
      <c r="H53" s="4" t="n">
        <v>12</v>
      </c>
      <c r="I53" s="7" t="n">
        <f aca="false">E53*G53</f>
        <v>1200</v>
      </c>
      <c r="J53" s="7" t="n">
        <f aca="false">F53*G53</f>
        <v>1900</v>
      </c>
      <c r="K53" s="7" t="n">
        <f aca="false">J53-I53</f>
        <v>700</v>
      </c>
      <c r="L53" s="8" t="str">
        <f aca="false">IF(G53&lt;H53,"REORDER","OK")</f>
        <v>REORDER</v>
      </c>
    </row>
    <row r="54" customFormat="false" ht="15" hidden="false" customHeight="false" outlineLevel="0" collapsed="false">
      <c r="A54" s="9" t="s">
        <v>128</v>
      </c>
      <c r="B54" s="10" t="s">
        <v>129</v>
      </c>
      <c r="C54" s="9" t="s">
        <v>115</v>
      </c>
      <c r="D54" s="9" t="s">
        <v>127</v>
      </c>
      <c r="E54" s="11" t="n">
        <v>450</v>
      </c>
      <c r="F54" s="11" t="n">
        <v>650</v>
      </c>
      <c r="G54" s="9" t="n">
        <v>4</v>
      </c>
      <c r="H54" s="9" t="n">
        <v>6</v>
      </c>
      <c r="I54" s="7" t="n">
        <f aca="false">E54*G54</f>
        <v>1800</v>
      </c>
      <c r="J54" s="7" t="n">
        <f aca="false">F54*G54</f>
        <v>2600</v>
      </c>
      <c r="K54" s="7" t="n">
        <f aca="false">J54-I54</f>
        <v>800</v>
      </c>
      <c r="L54" s="8" t="str">
        <f aca="false">IF(G54&lt;H54,"REORDER","OK")</f>
        <v>REORDER</v>
      </c>
    </row>
    <row r="56" customFormat="false" ht="15" hidden="false" customHeight="false" outlineLevel="0" collapsed="false">
      <c r="A56" s="12" t="s">
        <v>130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customFormat="false" ht="15" hidden="false" customHeight="false" outlineLevel="0" collapsed="false">
      <c r="A57" s="13" t="s">
        <v>131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customFormat="false" ht="15" hidden="false" customHeight="false" outlineLevel="0" collapsed="false">
      <c r="A58" s="13" t="s">
        <v>132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customFormat="false" ht="15" hidden="false" customHeight="false" outlineLevel="0" collapsed="false">
      <c r="A59" s="13" t="s">
        <v>133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customFormat="false" ht="15" hidden="false" customHeight="false" outlineLevel="0" collapsed="false">
      <c r="A60" s="13" t="s">
        <v>134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</sheetData>
  <mergeCells count="7">
    <mergeCell ref="A1:L1"/>
    <mergeCell ref="A2:L2"/>
    <mergeCell ref="A56:L56"/>
    <mergeCell ref="A57:L57"/>
    <mergeCell ref="A58:L58"/>
    <mergeCell ref="A59:L59"/>
    <mergeCell ref="A60:L60"/>
  </mergeCells>
  <conditionalFormatting sqref="L5:L54">
    <cfRule type="expression" priority="2" aboveAverage="0" equalAverage="0" bottom="0" percent="0" rank="0" text="" dxfId="0">
      <formula>L5="REORDER"</formula>
    </cfRule>
    <cfRule type="expression" priority="3" aboveAverage="0" equalAverage="0" bottom="0" percent="0" rank="0" text="" dxfId="1">
      <formula>L5="OK"</formula>
    </cfRule>
  </conditionalFormatting>
  <conditionalFormatting sqref="G5:G54">
    <cfRule type="expression" priority="4" aboveAverage="0" equalAverage="0" bottom="0" percent="0" rank="0" text="" dxfId="2">
      <formula>$L5="REORDER"</formula>
    </cfRule>
  </conditionalFormatting>
  <conditionalFormatting sqref="H5:H54">
    <cfRule type="expression" priority="5" aboveAverage="0" equalAverage="0" bottom="0" percent="0" rank="0" text="" dxfId="2">
      <formula>$L5="REORDER"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135</v>
      </c>
      <c r="B1" s="1"/>
      <c r="C1" s="1"/>
      <c r="D1" s="1"/>
    </row>
    <row r="3" customFormat="false" ht="24" hidden="false" customHeight="true" outlineLevel="0" collapsed="false">
      <c r="A3" s="14" t="s">
        <v>136</v>
      </c>
      <c r="B3" s="15" t="n">
        <f aca="false">COUNTA(Inventory!B5:B54)</f>
        <v>50</v>
      </c>
    </row>
    <row r="4" customFormat="false" ht="24" hidden="false" customHeight="true" outlineLevel="0" collapsed="false">
      <c r="A4" s="14" t="s">
        <v>137</v>
      </c>
      <c r="B4" s="15" t="n">
        <f aca="false">COUNTIF(Inventory!L5:L54,"REORDER")</f>
        <v>25</v>
      </c>
    </row>
    <row r="5" customFormat="false" ht="24" hidden="false" customHeight="true" outlineLevel="0" collapsed="false">
      <c r="A5" s="14" t="s">
        <v>138</v>
      </c>
      <c r="B5" s="15" t="n">
        <f aca="false">COUNTIF(Inventory!L5:L54,"OK")</f>
        <v>25</v>
      </c>
    </row>
    <row r="6" customFormat="false" ht="24" hidden="false" customHeight="true" outlineLevel="0" collapsed="false">
      <c r="A6" s="14" t="s">
        <v>139</v>
      </c>
      <c r="B6" s="16" t="n">
        <f aca="false">SUM(Inventory!I5:I54)</f>
        <v>52095</v>
      </c>
    </row>
    <row r="7" customFormat="false" ht="24" hidden="false" customHeight="true" outlineLevel="0" collapsed="false">
      <c r="A7" s="14" t="s">
        <v>140</v>
      </c>
      <c r="B7" s="16" t="n">
        <f aca="false">SUM(Inventory!J5:J54)</f>
        <v>76604</v>
      </c>
    </row>
    <row r="8" customFormat="false" ht="24" hidden="false" customHeight="true" outlineLevel="0" collapsed="false">
      <c r="A8" s="14" t="s">
        <v>141</v>
      </c>
      <c r="B8" s="16" t="n">
        <f aca="false">SUM(Inventory!K5:K54)</f>
        <v>24509</v>
      </c>
    </row>
    <row r="11" customFormat="false" ht="15" hidden="false" customHeight="false" outlineLevel="0" collapsed="false">
      <c r="A11" s="17" t="s">
        <v>142</v>
      </c>
    </row>
    <row r="12" customFormat="false" ht="15" hidden="false" customHeight="false" outlineLevel="0" collapsed="false">
      <c r="A12" s="18" t="s">
        <v>4</v>
      </c>
      <c r="B12" s="18" t="s">
        <v>143</v>
      </c>
      <c r="C12" s="18" t="s">
        <v>144</v>
      </c>
      <c r="D12" s="18" t="s">
        <v>10</v>
      </c>
    </row>
    <row r="13" customFormat="false" ht="15" hidden="false" customHeight="false" outlineLevel="0" collapsed="false">
      <c r="A13" s="19" t="s">
        <v>115</v>
      </c>
      <c r="B13" s="19" t="n">
        <f aca="false">COUNTIF(Inventory!C5:C54,A13)</f>
        <v>7</v>
      </c>
      <c r="C13" s="19" t="n">
        <f aca="false">COUNTIFS(Inventory!C5:C54,A13,Inventory!L5:L54,"REORDER")</f>
        <v>4</v>
      </c>
      <c r="D13" s="20" t="n">
        <f aca="false">SUMIFS(Inventory!I5:I54,Inventory!C5:C54,A13)</f>
        <v>10095</v>
      </c>
    </row>
    <row r="14" customFormat="false" ht="15" hidden="false" customHeight="false" outlineLevel="0" collapsed="false">
      <c r="A14" s="21" t="s">
        <v>73</v>
      </c>
      <c r="B14" s="21" t="n">
        <f aca="false">COUNTIF(Inventory!C5:C54,A14)</f>
        <v>10</v>
      </c>
      <c r="C14" s="21" t="n">
        <f aca="false">COUNTIFS(Inventory!C5:C54,A14,Inventory!L5:L54,"REORDER")</f>
        <v>4</v>
      </c>
      <c r="D14" s="22" t="n">
        <f aca="false">SUMIFS(Inventory!I5:I54,Inventory!C5:C54,A14)</f>
        <v>20260</v>
      </c>
    </row>
    <row r="15" customFormat="false" ht="15" hidden="false" customHeight="false" outlineLevel="0" collapsed="false">
      <c r="A15" s="19" t="s">
        <v>50</v>
      </c>
      <c r="B15" s="19" t="n">
        <f aca="false">COUNTIF(Inventory!C5:C54,A15)</f>
        <v>10</v>
      </c>
      <c r="C15" s="19" t="n">
        <f aca="false">COUNTIFS(Inventory!C5:C54,A15,Inventory!L5:L54,"REORDER")</f>
        <v>6</v>
      </c>
      <c r="D15" s="20" t="n">
        <f aca="false">SUMIFS(Inventory!I5:I54,Inventory!C5:C54,A15)</f>
        <v>7080</v>
      </c>
    </row>
    <row r="16" customFormat="false" ht="15" hidden="false" customHeight="false" outlineLevel="0" collapsed="false">
      <c r="A16" s="21" t="s">
        <v>96</v>
      </c>
      <c r="B16" s="21" t="n">
        <f aca="false">COUNTIF(Inventory!C5:C54,A16)</f>
        <v>8</v>
      </c>
      <c r="C16" s="21" t="n">
        <f aca="false">COUNTIFS(Inventory!C5:C54,A16,Inventory!L5:L54,"REORDER")</f>
        <v>2</v>
      </c>
      <c r="D16" s="22" t="n">
        <f aca="false">SUMIFS(Inventory!I5:I54,Inventory!C5:C54,A16)</f>
        <v>7030</v>
      </c>
    </row>
    <row r="17" customFormat="false" ht="15" hidden="false" customHeight="false" outlineLevel="0" collapsed="false">
      <c r="A17" s="19" t="s">
        <v>16</v>
      </c>
      <c r="B17" s="19" t="n">
        <f aca="false">COUNTIF(Inventory!C5:C54,A17)</f>
        <v>15</v>
      </c>
      <c r="C17" s="19" t="n">
        <f aca="false">COUNTIFS(Inventory!C5:C54,A17,Inventory!L5:L54,"REORDER")</f>
        <v>9</v>
      </c>
      <c r="D17" s="20" t="n">
        <f aca="false">SUMIFS(Inventory!I5:I54,Inventory!C5:C54,A17)</f>
        <v>7630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2026-09-10T17:38:39Z</dcterms:created>
  <dc:creator>openpyxl</dc:creator>
  <dc:description/>
  <dc:language>en-US</dc:language>
  <cp:lastModifiedBy/>
  <dcterms:modified xsi:type="dcterms:W3CDTF">2026-09-10T17:38:39Z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