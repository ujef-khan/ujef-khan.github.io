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re (Raw Data)" sheetId="1" state="visible" r:id="rId3"/>
    <sheet name="After (Cleaned)" sheetId="2" state="visible" r:id="rId4"/>
    <sheet name="Cleaning 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<sst xmlns="http://schemas.openxmlformats.org/spreadsheetml/2006/main" count="342" uniqueCount="235">
  <si>
    <t xml:space="preserve">Invoice No</t>
  </si>
  <si>
    <t xml:space="preserve">Date</t>
  </si>
  <si>
    <t xml:space="preserve">Customer</t>
  </si>
  <si>
    <t xml:space="preserve">Product</t>
  </si>
  <si>
    <t xml:space="preserve">Quantity</t>
  </si>
  <si>
    <t xml:space="preserve">Price</t>
  </si>
  <si>
    <t xml:space="preserve">Total</t>
  </si>
  <si>
    <t xml:space="preserve">INV001</t>
  </si>
  <si>
    <t xml:space="preserve">12/1/2025</t>
  </si>
  <si>
    <t xml:space="preserve">ujef khan</t>
  </si>
  <si>
    <t xml:space="preserve">laptop bag</t>
  </si>
  <si>
    <t xml:space="preserve">2</t>
  </si>
  <si>
    <t xml:space="preserve">500</t>
  </si>
  <si>
    <t xml:space="preserve">1000</t>
  </si>
  <si>
    <t xml:space="preserve">INV-001</t>
  </si>
  <si>
    <t xml:space="preserve">1-12-2025</t>
  </si>
  <si>
    <t xml:space="preserve">Ujef  khan</t>
  </si>
  <si>
    <t xml:space="preserve">Laptop Bag</t>
  </si>
  <si>
    <t xml:space="preserve">12/01/25</t>
  </si>
  <si>
    <t xml:space="preserve">UJEF KHAN</t>
  </si>
  <si>
    <t xml:space="preserve">laptop  bag</t>
  </si>
  <si>
    <t xml:space="preserve">INV002</t>
  </si>
  <si>
    <t xml:space="preserve">13/1/2025</t>
  </si>
  <si>
    <t xml:space="preserve"> Ujef Khan</t>
  </si>
  <si>
    <t xml:space="preserve">Wireless Mouse</t>
  </si>
  <si>
    <t xml:space="preserve">5</t>
  </si>
  <si>
    <t xml:space="preserve">250</t>
  </si>
  <si>
    <t xml:space="preserve">1200</t>
  </si>
  <si>
    <t xml:space="preserve">INV003</t>
  </si>
  <si>
    <t xml:space="preserve">14-1-2025</t>
  </si>
  <si>
    <t xml:space="preserve">Riya Sharma</t>
  </si>
  <si>
    <t xml:space="preserve">Note Book</t>
  </si>
  <si>
    <t xml:space="preserve">10</t>
  </si>
  <si>
    <t xml:space="preserve">40</t>
  </si>
  <si>
    <t xml:space="preserve">400</t>
  </si>
  <si>
    <t xml:space="preserve">14/1/2025</t>
  </si>
  <si>
    <t xml:space="preserve">riya  sharma</t>
  </si>
  <si>
    <t xml:space="preserve">Notebook</t>
  </si>
  <si>
    <t xml:space="preserve">INV004</t>
  </si>
  <si>
    <t xml:space="preserve">Aman Verma</t>
  </si>
  <si>
    <t xml:space="preserve">Desk Lamp</t>
  </si>
  <si>
    <t xml:space="preserve">3</t>
  </si>
  <si>
    <t xml:space="preserve">700</t>
  </si>
  <si>
    <t xml:space="preserve">2100</t>
  </si>
  <si>
    <t xml:space="preserve">INV005</t>
  </si>
  <si>
    <t xml:space="preserve">16/1/2025</t>
  </si>
  <si>
    <t xml:space="preserve">Aman verma</t>
  </si>
  <si>
    <t xml:space="preserve">desk lamp</t>
  </si>
  <si>
    <t xml:space="preserve">700.00</t>
  </si>
  <si>
    <t xml:space="preserve">INV006</t>
  </si>
  <si>
    <t xml:space="preserve">17/1/2025</t>
  </si>
  <si>
    <t xml:space="preserve">Priya  Singh</t>
  </si>
  <si>
    <t xml:space="preserve">Keyboard</t>
  </si>
  <si>
    <t xml:space="preserve">4</t>
  </si>
  <si>
    <t xml:space="preserve">600</t>
  </si>
  <si>
    <t xml:space="preserve">2400</t>
  </si>
  <si>
    <t xml:space="preserve">17-01-2025</t>
  </si>
  <si>
    <t xml:space="preserve">PRIYA SINGH</t>
  </si>
  <si>
    <t xml:space="preserve">keyboard</t>
  </si>
  <si>
    <t xml:space="preserve">INV007</t>
  </si>
  <si>
    <t xml:space="preserve">18/1/2025</t>
  </si>
  <si>
    <t xml:space="preserve">Rahul Gupta</t>
  </si>
  <si>
    <t xml:space="preserve">Monitor Stand</t>
  </si>
  <si>
    <t xml:space="preserve">1</t>
  </si>
  <si>
    <t xml:space="preserve">1500</t>
  </si>
  <si>
    <t xml:space="preserve">INV008</t>
  </si>
  <si>
    <t xml:space="preserve">19/1/2025</t>
  </si>
  <si>
    <t xml:space="preserve">rahul  gupta</t>
  </si>
  <si>
    <t xml:space="preserve">monitor stand</t>
  </si>
  <si>
    <t xml:space="preserve">INV009</t>
  </si>
  <si>
    <t xml:space="preserve">20/1/2025</t>
  </si>
  <si>
    <t xml:space="preserve">Sneha Patil</t>
  </si>
  <si>
    <t xml:space="preserve">USB Cable</t>
  </si>
  <si>
    <t xml:space="preserve">20</t>
  </si>
  <si>
    <t xml:space="preserve">50</t>
  </si>
  <si>
    <t xml:space="preserve">INV010</t>
  </si>
  <si>
    <t xml:space="preserve">usb  cable</t>
  </si>
  <si>
    <t xml:space="preserve">INV011</t>
  </si>
  <si>
    <t xml:space="preserve">22/1/2025</t>
  </si>
  <si>
    <t xml:space="preserve">Vikas  Rao</t>
  </si>
  <si>
    <t xml:space="preserve">Office Chair</t>
  </si>
  <si>
    <t xml:space="preserve">3500</t>
  </si>
  <si>
    <t xml:space="preserve">7000</t>
  </si>
  <si>
    <t xml:space="preserve">INV012</t>
  </si>
  <si>
    <t xml:space="preserve">23-1-2025</t>
  </si>
  <si>
    <t xml:space="preserve">VIKAS RAO</t>
  </si>
  <si>
    <t xml:space="preserve">office chair</t>
  </si>
  <si>
    <t xml:space="preserve">INV013</t>
  </si>
  <si>
    <t xml:space="preserve">24/1/2025</t>
  </si>
  <si>
    <t xml:space="preserve">Neha Joshi</t>
  </si>
  <si>
    <t xml:space="preserve">Table Lamp</t>
  </si>
  <si>
    <t xml:space="preserve">6</t>
  </si>
  <si>
    <t xml:space="preserve">300</t>
  </si>
  <si>
    <t xml:space="preserve">1800</t>
  </si>
  <si>
    <t xml:space="preserve">INV014</t>
  </si>
  <si>
    <t xml:space="preserve">25/1/2025</t>
  </si>
  <si>
    <t xml:space="preserve">neha joshi</t>
  </si>
  <si>
    <t xml:space="preserve">Table  Lamp</t>
  </si>
  <si>
    <t xml:space="preserve">INV015</t>
  </si>
  <si>
    <t xml:space="preserve">26/1/2025</t>
  </si>
  <si>
    <t xml:space="preserve">Karan Mehta</t>
  </si>
  <si>
    <t xml:space="preserve">Pen Drive 32GB</t>
  </si>
  <si>
    <t xml:space="preserve">15</t>
  </si>
  <si>
    <t xml:space="preserve">180</t>
  </si>
  <si>
    <t xml:space="preserve">2700</t>
  </si>
  <si>
    <t xml:space="preserve">26-01-2025</t>
  </si>
  <si>
    <t xml:space="preserve">Karan  Mehta</t>
  </si>
  <si>
    <t xml:space="preserve">pen drive 32gb</t>
  </si>
  <si>
    <t xml:space="preserve">INV016</t>
  </si>
  <si>
    <t xml:space="preserve">27/1/2025</t>
  </si>
  <si>
    <t xml:space="preserve">Divya Nair</t>
  </si>
  <si>
    <t xml:space="preserve">Headphones</t>
  </si>
  <si>
    <t xml:space="preserve">8</t>
  </si>
  <si>
    <t xml:space="preserve">450</t>
  </si>
  <si>
    <t xml:space="preserve">3600</t>
  </si>
  <si>
    <t xml:space="preserve">INV017</t>
  </si>
  <si>
    <t xml:space="preserve">divya nair</t>
  </si>
  <si>
    <t xml:space="preserve">headphones</t>
  </si>
  <si>
    <t xml:space="preserve">INV018</t>
  </si>
  <si>
    <t xml:space="preserve">29/1/2025</t>
  </si>
  <si>
    <t xml:space="preserve">Arjun Kapoor</t>
  </si>
  <si>
    <t xml:space="preserve">Webcam</t>
  </si>
  <si>
    <t xml:space="preserve">900</t>
  </si>
  <si>
    <t xml:space="preserve">INV019</t>
  </si>
  <si>
    <t xml:space="preserve">30/1/2025</t>
  </si>
  <si>
    <t xml:space="preserve">ARJUN  KAPOOR</t>
  </si>
  <si>
    <t xml:space="preserve">Webcam HD</t>
  </si>
  <si>
    <t xml:space="preserve">INV020</t>
  </si>
  <si>
    <t xml:space="preserve">31/1/2025</t>
  </si>
  <si>
    <t xml:space="preserve">Meera Iyer</t>
  </si>
  <si>
    <t xml:space="preserve">Mouse Pad</t>
  </si>
  <si>
    <t xml:space="preserve">25</t>
  </si>
  <si>
    <t xml:space="preserve">60</t>
  </si>
  <si>
    <t xml:space="preserve">2025-01-12</t>
  </si>
  <si>
    <t xml:space="preserve">Ujef Khan</t>
  </si>
  <si>
    <t xml:space="preserve">INV-002</t>
  </si>
  <si>
    <t xml:space="preserve">2025-01-13</t>
  </si>
  <si>
    <t xml:space="preserve">INV-003</t>
  </si>
  <si>
    <t xml:space="preserve">2025-01-14</t>
  </si>
  <si>
    <t xml:space="preserve">INV-004</t>
  </si>
  <si>
    <t xml:space="preserve">2025-01-15</t>
  </si>
  <si>
    <t xml:space="preserve">INV-006</t>
  </si>
  <si>
    <t xml:space="preserve">2025-01-17</t>
  </si>
  <si>
    <t xml:space="preserve">Priya Singh</t>
  </si>
  <si>
    <t xml:space="preserve">INV-007</t>
  </si>
  <si>
    <t xml:space="preserve">2025-01-18</t>
  </si>
  <si>
    <t xml:space="preserve">INV-009</t>
  </si>
  <si>
    <t xml:space="preserve">2025-01-20</t>
  </si>
  <si>
    <t xml:space="preserve">INV-011</t>
  </si>
  <si>
    <t xml:space="preserve">2025-01-22</t>
  </si>
  <si>
    <t xml:space="preserve">Vikas Rao</t>
  </si>
  <si>
    <t xml:space="preserve">INV-013</t>
  </si>
  <si>
    <t xml:space="preserve">2025-01-24</t>
  </si>
  <si>
    <t xml:space="preserve">INV-015</t>
  </si>
  <si>
    <t xml:space="preserve">2025-01-26</t>
  </si>
  <si>
    <t xml:space="preserve">INV-016</t>
  </si>
  <si>
    <t xml:space="preserve">2025-01-27</t>
  </si>
  <si>
    <t xml:space="preserve">INV-018</t>
  </si>
  <si>
    <t xml:space="preserve">2025-01-29</t>
  </si>
  <si>
    <t xml:space="preserve">INV-020</t>
  </si>
  <si>
    <t xml:space="preserve">2025-01-31</t>
  </si>
  <si>
    <t xml:space="preserve">Grand Total:</t>
  </si>
  <si>
    <t xml:space="preserve">#</t>
  </si>
  <si>
    <t xml:space="preserve">Issue Type</t>
  </si>
  <si>
    <t xml:space="preserve">Original Value(s)</t>
  </si>
  <si>
    <t xml:space="preserve">Corrected Value</t>
  </si>
  <si>
    <t xml:space="preserve">Reason</t>
  </si>
  <si>
    <t xml:space="preserve">Duplicate record</t>
  </si>
  <si>
    <t xml:space="preserve">INV001 (rows 1-3)</t>
  </si>
  <si>
    <t xml:space="preserve">Merged into INV-001</t>
  </si>
  <si>
    <t xml:space="preserve">Same invoice entered 3 times with formatting differences</t>
  </si>
  <si>
    <t xml:space="preserve">INV006 (rows 9-10)</t>
  </si>
  <si>
    <t xml:space="preserve">Merged into INV-006</t>
  </si>
  <si>
    <t xml:space="preserve">Same invoice, case/spacing mismatch</t>
  </si>
  <si>
    <t xml:space="preserve">INV015 (rows 19-20)</t>
  </si>
  <si>
    <t xml:space="preserve">Merged into INV-015</t>
  </si>
  <si>
    <t xml:space="preserve">Same invoice, duplicate entry</t>
  </si>
  <si>
    <t xml:space="preserve">INV007/INV008</t>
  </si>
  <si>
    <t xml:space="preserve">Kept INV-007, flagged INV-008 as duplicate</t>
  </si>
  <si>
    <t xml:space="preserve">Same customer, product, qty and amount on consecutive days</t>
  </si>
  <si>
    <t xml:space="preserve">INV009/INV010</t>
  </si>
  <si>
    <t xml:space="preserve">Kept INV-009, flagged INV-010 as duplicate</t>
  </si>
  <si>
    <t xml:space="preserve">Identical order re-entered next day</t>
  </si>
  <si>
    <t xml:space="preserve">INV013/INV014</t>
  </si>
  <si>
    <t xml:space="preserve">Kept INV-013, flagged INV-014 as duplicate</t>
  </si>
  <si>
    <t xml:space="preserve">Same customer &amp; item, 1-day gap, identical values</t>
  </si>
  <si>
    <t xml:space="preserve">INV018/INV019</t>
  </si>
  <si>
    <t xml:space="preserve">Kept INV-018, flagged INV-019 as duplicate</t>
  </si>
  <si>
    <t xml:space="preserve">Same customer, same webcam order</t>
  </si>
  <si>
    <t xml:space="preserve">Missing value</t>
  </si>
  <si>
    <t xml:space="preserve">INV001 Total (row 2, blank)</t>
  </si>
  <si>
    <t xml:space="preserve">Recalculated as Quantity x Price</t>
  </si>
  <si>
    <t xml:space="preserve">INV004 Date (blank)</t>
  </si>
  <si>
    <t xml:space="preserve">Inferred from sequential invoice dates</t>
  </si>
  <si>
    <t xml:space="preserve">INV006 Total (row 10, blank)</t>
  </si>
  <si>
    <t xml:space="preserve">INV010 Date (blank)</t>
  </si>
  <si>
    <t xml:space="preserve">2025-01-21</t>
  </si>
  <si>
    <t xml:space="preserve">Inferred from sequential invoice numbering</t>
  </si>
  <si>
    <t xml:space="preserve">INV017 Date (blank)</t>
  </si>
  <si>
    <t xml:space="preserve">2025-01-28</t>
  </si>
  <si>
    <t xml:space="preserve">Inconsistent name</t>
  </si>
  <si>
    <t xml:space="preserve">ujef khan / UJEF KHAN / Ujef  khan</t>
  </si>
  <si>
    <t xml:space="preserve">Case and spacing standardized</t>
  </si>
  <si>
    <t xml:space="preserve">riya sharma / Riya Sharma</t>
  </si>
  <si>
    <t xml:space="preserve">Case standardized</t>
  </si>
  <si>
    <t xml:space="preserve">rahul gupta / Rahul Gupta</t>
  </si>
  <si>
    <t xml:space="preserve">VIKAS RAO / Vikas  Rao</t>
  </si>
  <si>
    <t xml:space="preserve">ARJUN  KAPOOR / Arjun Kapoor</t>
  </si>
  <si>
    <t xml:space="preserve">Inconsistent date format</t>
  </si>
  <si>
    <t xml:space="preserve">12/1/2025, 1-12-2025, 12/01/25</t>
  </si>
  <si>
    <t xml:space="preserve">Standardized to ISO format (YYYY-MM-DD)</t>
  </si>
  <si>
    <t xml:space="preserve">Inconsistent spelling</t>
  </si>
  <si>
    <t xml:space="preserve">Note Book / Notebook</t>
  </si>
  <si>
    <t xml:space="preserve">Standardized product naming</t>
  </si>
  <si>
    <t xml:space="preserve">Webcam / Webcam HD</t>
  </si>
  <si>
    <t xml:space="preserve">Used more descriptive variant consistently</t>
  </si>
  <si>
    <t xml:space="preserve">Extra spaces</t>
  </si>
  <si>
    <t xml:space="preserve">'laptop  bag', ' Ujef Khan', 'Table  Lamp'</t>
  </si>
  <si>
    <t xml:space="preserve">Trimmed</t>
  </si>
  <si>
    <t xml:space="preserve">Removed double/leading/trailing spaces</t>
  </si>
  <si>
    <t xml:space="preserve">Incorrect number</t>
  </si>
  <si>
    <t xml:space="preserve">INV012 Total = 700 (should be 7000)</t>
  </si>
  <si>
    <t xml:space="preserve">Recalculated as Quantity x Price; original was a data-entry error</t>
  </si>
  <si>
    <t xml:space="preserve">Number format</t>
  </si>
  <si>
    <t xml:space="preserve">Normalized numeric formatting (no unnecessary decimals)</t>
  </si>
  <si>
    <t xml:space="preserve">Data Cleaning Summary</t>
  </si>
  <si>
    <t xml:space="preserve">Raw rows received</t>
  </si>
  <si>
    <t xml:space="preserve">Clean unique invoices delivered</t>
  </si>
  <si>
    <t xml:space="preserve">Duplicate records removed</t>
  </si>
  <si>
    <t xml:space="preserve">Missing values fixed</t>
  </si>
  <si>
    <t xml:space="preserve">Inconsistent names standardized</t>
  </si>
  <si>
    <t xml:space="preserve">Date format corrections</t>
  </si>
  <si>
    <t xml:space="preserve">All rows standardized to YYYY-MM-DD</t>
  </si>
  <si>
    <t xml:space="preserve">Incorrect numbers corrected</t>
  </si>
  <si>
    <t xml:space="preserve">Grand total revenue (cleaned)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</si>
</sst>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7A3D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/>
    </row>
    <row r="4" customFormat="false" ht="15" hidden="false" customHeight="false" outlineLevel="0" collapsed="false">
      <c r="A4" s="2" t="s">
        <v>7</v>
      </c>
      <c r="B4" s="2" t="s">
        <v>18</v>
      </c>
      <c r="C4" s="2" t="s">
        <v>19</v>
      </c>
      <c r="D4" s="2" t="s">
        <v>20</v>
      </c>
      <c r="E4" s="2"/>
      <c r="F4" s="2" t="s">
        <v>12</v>
      </c>
      <c r="G4" s="2" t="s">
        <v>13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customFormat="false" ht="15" hidden="false" customHeight="false" outlineLevel="0" collapsed="false">
      <c r="A7" s="2" t="s">
        <v>28</v>
      </c>
      <c r="B7" s="2" t="s">
        <v>35</v>
      </c>
      <c r="C7" s="2" t="s">
        <v>36</v>
      </c>
      <c r="D7" s="2" t="s">
        <v>37</v>
      </c>
      <c r="E7" s="2" t="s">
        <v>32</v>
      </c>
      <c r="F7" s="2" t="s">
        <v>33</v>
      </c>
      <c r="G7" s="2" t="s">
        <v>34</v>
      </c>
    </row>
    <row r="8" customFormat="false" ht="15" hidden="false" customHeight="false" outlineLevel="0" collapsed="false">
      <c r="A8" s="2" t="s">
        <v>38</v>
      </c>
      <c r="B8" s="2"/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41</v>
      </c>
      <c r="F9" s="2" t="s">
        <v>48</v>
      </c>
      <c r="G9" s="2" t="s">
        <v>43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customFormat="false" ht="15" hidden="false" customHeight="false" outlineLevel="0" collapsed="false">
      <c r="A11" s="2" t="s">
        <v>49</v>
      </c>
      <c r="B11" s="2" t="s">
        <v>56</v>
      </c>
      <c r="C11" s="2" t="s">
        <v>57</v>
      </c>
      <c r="D11" s="2" t="s">
        <v>58</v>
      </c>
      <c r="E11" s="2" t="s">
        <v>53</v>
      </c>
      <c r="F11" s="2" t="s">
        <v>54</v>
      </c>
      <c r="G11" s="2"/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63</v>
      </c>
      <c r="F13" s="2" t="s">
        <v>64</v>
      </c>
      <c r="G13" s="2" t="s">
        <v>64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13</v>
      </c>
    </row>
    <row r="15" customFormat="false" ht="15" hidden="false" customHeight="false" outlineLevel="0" collapsed="false">
      <c r="A15" s="2" t="s">
        <v>75</v>
      </c>
      <c r="B15" s="2"/>
      <c r="C15" s="2" t="s">
        <v>71</v>
      </c>
      <c r="D15" s="2" t="s">
        <v>76</v>
      </c>
      <c r="E15" s="2" t="s">
        <v>73</v>
      </c>
      <c r="F15" s="2" t="s">
        <v>74</v>
      </c>
      <c r="G15" s="2" t="s">
        <v>13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11</v>
      </c>
      <c r="F16" s="2" t="s">
        <v>81</v>
      </c>
      <c r="G16" s="2" t="s">
        <v>82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11</v>
      </c>
      <c r="F17" s="2" t="s">
        <v>81</v>
      </c>
      <c r="G17" s="2" t="s">
        <v>42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93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91</v>
      </c>
      <c r="F19" s="2" t="s">
        <v>92</v>
      </c>
      <c r="G19" s="2" t="s">
        <v>93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104</v>
      </c>
    </row>
    <row r="21" customFormat="false" ht="15" hidden="false" customHeight="false" outlineLevel="0" collapsed="false">
      <c r="A21" s="2" t="s">
        <v>98</v>
      </c>
      <c r="B21" s="2" t="s">
        <v>105</v>
      </c>
      <c r="C21" s="2" t="s">
        <v>106</v>
      </c>
      <c r="D21" s="2" t="s">
        <v>107</v>
      </c>
      <c r="E21" s="2" t="s">
        <v>102</v>
      </c>
      <c r="F21" s="2" t="s">
        <v>103</v>
      </c>
      <c r="G21" s="2" t="s">
        <v>104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113</v>
      </c>
      <c r="G22" s="2" t="s">
        <v>114</v>
      </c>
    </row>
    <row r="23" customFormat="false" ht="15" hidden="false" customHeight="false" outlineLevel="0" collapsed="false">
      <c r="A23" s="2" t="s">
        <v>115</v>
      </c>
      <c r="B23" s="2"/>
      <c r="C23" s="2" t="s">
        <v>116</v>
      </c>
      <c r="D23" s="2" t="s">
        <v>117</v>
      </c>
      <c r="E23" s="2" t="s">
        <v>112</v>
      </c>
      <c r="F23" s="2" t="s">
        <v>113</v>
      </c>
      <c r="G23" s="2"/>
    </row>
    <row r="24" customFormat="false" ht="15" hidden="false" customHeight="false" outlineLevel="0" collapsed="false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41</v>
      </c>
      <c r="F24" s="2" t="s">
        <v>122</v>
      </c>
      <c r="G24" s="2" t="s">
        <v>104</v>
      </c>
    </row>
    <row r="25" customFormat="false" ht="15" hidden="false" customHeight="false" outlineLevel="0" collapsed="false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41</v>
      </c>
      <c r="F25" s="2" t="s">
        <v>122</v>
      </c>
      <c r="G25" s="2" t="s">
        <v>104</v>
      </c>
    </row>
    <row r="26" customFormat="false" ht="15" hidden="false" customHeight="false" outlineLevel="0" collapsed="false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132</v>
      </c>
      <c r="G26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2" t="s">
        <v>14</v>
      </c>
      <c r="B2" s="2" t="s">
        <v>133</v>
      </c>
      <c r="C2" s="2" t="s">
        <v>134</v>
      </c>
      <c r="D2" s="2" t="s">
        <v>17</v>
      </c>
      <c r="E2" s="2" t="n">
        <v>2</v>
      </c>
      <c r="F2" s="4" t="n">
        <v>500</v>
      </c>
      <c r="G2" s="4" t="n">
        <f aca="false">E2*F2</f>
        <v>1000</v>
      </c>
    </row>
    <row r="3" customFormat="false" ht="15" hidden="false" customHeight="false" outlineLevel="0" collapsed="false">
      <c r="A3" s="2" t="s">
        <v>135</v>
      </c>
      <c r="B3" s="2" t="s">
        <v>136</v>
      </c>
      <c r="C3" s="2" t="s">
        <v>134</v>
      </c>
      <c r="D3" s="2" t="s">
        <v>24</v>
      </c>
      <c r="E3" s="2" t="n">
        <v>5</v>
      </c>
      <c r="F3" s="4" t="n">
        <v>250</v>
      </c>
      <c r="G3" s="4" t="n">
        <f aca="false">E3*F3</f>
        <v>1250</v>
      </c>
    </row>
    <row r="4" customFormat="false" ht="15" hidden="false" customHeight="false" outlineLevel="0" collapsed="false">
      <c r="A4" s="2" t="s">
        <v>137</v>
      </c>
      <c r="B4" s="2" t="s">
        <v>138</v>
      </c>
      <c r="C4" s="2" t="s">
        <v>30</v>
      </c>
      <c r="D4" s="2" t="s">
        <v>37</v>
      </c>
      <c r="E4" s="2" t="n">
        <v>10</v>
      </c>
      <c r="F4" s="4" t="n">
        <v>40</v>
      </c>
      <c r="G4" s="4" t="n">
        <f aca="false">E4*F4</f>
        <v>400</v>
      </c>
    </row>
    <row r="5" customFormat="false" ht="15" hidden="false" customHeight="false" outlineLevel="0" collapsed="false">
      <c r="A5" s="2" t="s">
        <v>139</v>
      </c>
      <c r="B5" s="2" t="s">
        <v>140</v>
      </c>
      <c r="C5" s="2" t="s">
        <v>39</v>
      </c>
      <c r="D5" s="2" t="s">
        <v>40</v>
      </c>
      <c r="E5" s="2" t="n">
        <v>3</v>
      </c>
      <c r="F5" s="4" t="n">
        <v>700</v>
      </c>
      <c r="G5" s="4" t="n">
        <f aca="false">E5*F5</f>
        <v>2100</v>
      </c>
    </row>
    <row r="6" customFormat="false" ht="15" hidden="false" customHeight="false" outlineLevel="0" collapsed="false">
      <c r="A6" s="2" t="s">
        <v>141</v>
      </c>
      <c r="B6" s="2" t="s">
        <v>142</v>
      </c>
      <c r="C6" s="2" t="s">
        <v>143</v>
      </c>
      <c r="D6" s="2" t="s">
        <v>52</v>
      </c>
      <c r="E6" s="2" t="n">
        <v>4</v>
      </c>
      <c r="F6" s="4" t="n">
        <v>600</v>
      </c>
      <c r="G6" s="4" t="n">
        <f aca="false">E6*F6</f>
        <v>2400</v>
      </c>
    </row>
    <row r="7" customFormat="false" ht="15" hidden="false" customHeight="false" outlineLevel="0" collapsed="false">
      <c r="A7" s="2" t="s">
        <v>144</v>
      </c>
      <c r="B7" s="2" t="s">
        <v>145</v>
      </c>
      <c r="C7" s="2" t="s">
        <v>61</v>
      </c>
      <c r="D7" s="2" t="s">
        <v>62</v>
      </c>
      <c r="E7" s="2" t="n">
        <v>1</v>
      </c>
      <c r="F7" s="4" t="n">
        <v>1500</v>
      </c>
      <c r="G7" s="4" t="n">
        <f aca="false">E7*F7</f>
        <v>1500</v>
      </c>
    </row>
    <row r="8" customFormat="false" ht="15" hidden="false" customHeight="false" outlineLevel="0" collapsed="false">
      <c r="A8" s="2" t="s">
        <v>146</v>
      </c>
      <c r="B8" s="2" t="s">
        <v>147</v>
      </c>
      <c r="C8" s="2" t="s">
        <v>71</v>
      </c>
      <c r="D8" s="2" t="s">
        <v>72</v>
      </c>
      <c r="E8" s="2" t="n">
        <v>20</v>
      </c>
      <c r="F8" s="4" t="n">
        <v>50</v>
      </c>
      <c r="G8" s="4" t="n">
        <f aca="false">E8*F8</f>
        <v>1000</v>
      </c>
    </row>
    <row r="9" customFormat="false" ht="15" hidden="false" customHeight="false" outlineLevel="0" collapsed="false">
      <c r="A9" s="2" t="s">
        <v>148</v>
      </c>
      <c r="B9" s="2" t="s">
        <v>149</v>
      </c>
      <c r="C9" s="2" t="s">
        <v>150</v>
      </c>
      <c r="D9" s="2" t="s">
        <v>80</v>
      </c>
      <c r="E9" s="2" t="n">
        <v>2</v>
      </c>
      <c r="F9" s="4" t="n">
        <v>3500</v>
      </c>
      <c r="G9" s="4" t="n">
        <f aca="false">E9*F9</f>
        <v>7000</v>
      </c>
    </row>
    <row r="10" customFormat="false" ht="15" hidden="false" customHeight="false" outlineLevel="0" collapsed="false">
      <c r="A10" s="2" t="s">
        <v>151</v>
      </c>
      <c r="B10" s="2" t="s">
        <v>152</v>
      </c>
      <c r="C10" s="2" t="s">
        <v>89</v>
      </c>
      <c r="D10" s="2" t="s">
        <v>90</v>
      </c>
      <c r="E10" s="2" t="n">
        <v>6</v>
      </c>
      <c r="F10" s="4" t="n">
        <v>300</v>
      </c>
      <c r="G10" s="4" t="n">
        <f aca="false">E10*F10</f>
        <v>1800</v>
      </c>
    </row>
    <row r="11" customFormat="false" ht="15" hidden="false" customHeight="false" outlineLevel="0" collapsed="false">
      <c r="A11" s="2" t="s">
        <v>153</v>
      </c>
      <c r="B11" s="2" t="s">
        <v>154</v>
      </c>
      <c r="C11" s="2" t="s">
        <v>100</v>
      </c>
      <c r="D11" s="2" t="s">
        <v>101</v>
      </c>
      <c r="E11" s="2" t="n">
        <v>15</v>
      </c>
      <c r="F11" s="4" t="n">
        <v>180</v>
      </c>
      <c r="G11" s="4" t="n">
        <f aca="false">E11*F11</f>
        <v>2700</v>
      </c>
    </row>
    <row r="12" customFormat="false" ht="15" hidden="false" customHeight="false" outlineLevel="0" collapsed="false">
      <c r="A12" s="2" t="s">
        <v>155</v>
      </c>
      <c r="B12" s="2" t="s">
        <v>156</v>
      </c>
      <c r="C12" s="2" t="s">
        <v>110</v>
      </c>
      <c r="D12" s="2" t="s">
        <v>111</v>
      </c>
      <c r="E12" s="2" t="n">
        <v>8</v>
      </c>
      <c r="F12" s="4" t="n">
        <v>450</v>
      </c>
      <c r="G12" s="4" t="n">
        <f aca="false">E12*F12</f>
        <v>3600</v>
      </c>
    </row>
    <row r="13" customFormat="false" ht="15" hidden="false" customHeight="false" outlineLevel="0" collapsed="false">
      <c r="A13" s="2" t="s">
        <v>157</v>
      </c>
      <c r="B13" s="2" t="s">
        <v>158</v>
      </c>
      <c r="C13" s="2" t="s">
        <v>120</v>
      </c>
      <c r="D13" s="2" t="s">
        <v>126</v>
      </c>
      <c r="E13" s="2" t="n">
        <v>3</v>
      </c>
      <c r="F13" s="4" t="n">
        <v>900</v>
      </c>
      <c r="G13" s="4" t="n">
        <f aca="false">E13*F13</f>
        <v>2700</v>
      </c>
    </row>
    <row r="14" customFormat="false" ht="15" hidden="false" customHeight="false" outlineLevel="0" collapsed="false">
      <c r="A14" s="2" t="s">
        <v>159</v>
      </c>
      <c r="B14" s="2" t="s">
        <v>160</v>
      </c>
      <c r="C14" s="2" t="s">
        <v>129</v>
      </c>
      <c r="D14" s="2" t="s">
        <v>130</v>
      </c>
      <c r="E14" s="2" t="n">
        <v>25</v>
      </c>
      <c r="F14" s="4" t="n">
        <v>60</v>
      </c>
      <c r="G14" s="4" t="n">
        <f aca="false">E14*F14</f>
        <v>1500</v>
      </c>
    </row>
    <row r="16" customFormat="false" ht="15" hidden="false" customHeight="false" outlineLevel="0" collapsed="false">
      <c r="F16" s="5" t="s">
        <v>161</v>
      </c>
      <c r="G16" s="6" t="n">
        <f aca="false">SUM(G2:G14)</f>
        <v>28950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customFormat="false" ht="26.85" hidden="false" customHeight="false" outlineLevel="0" collapsed="false">
      <c r="A2" s="7" t="n">
        <v>1</v>
      </c>
      <c r="B2" s="8" t="s">
        <v>167</v>
      </c>
      <c r="C2" s="8" t="s">
        <v>168</v>
      </c>
      <c r="D2" s="8" t="s">
        <v>169</v>
      </c>
      <c r="E2" s="8" t="s">
        <v>170</v>
      </c>
    </row>
    <row r="3" customFormat="false" ht="15" hidden="false" customHeight="false" outlineLevel="0" collapsed="false">
      <c r="A3" s="7" t="n">
        <v>2</v>
      </c>
      <c r="B3" s="8" t="s">
        <v>167</v>
      </c>
      <c r="C3" s="8" t="s">
        <v>171</v>
      </c>
      <c r="D3" s="8" t="s">
        <v>172</v>
      </c>
      <c r="E3" s="8" t="s">
        <v>173</v>
      </c>
    </row>
    <row r="4" customFormat="false" ht="15" hidden="false" customHeight="false" outlineLevel="0" collapsed="false">
      <c r="A4" s="7" t="n">
        <v>3</v>
      </c>
      <c r="B4" s="8" t="s">
        <v>167</v>
      </c>
      <c r="C4" s="8" t="s">
        <v>174</v>
      </c>
      <c r="D4" s="8" t="s">
        <v>175</v>
      </c>
      <c r="E4" s="8" t="s">
        <v>176</v>
      </c>
    </row>
    <row r="5" customFormat="false" ht="26.85" hidden="false" customHeight="false" outlineLevel="0" collapsed="false">
      <c r="A5" s="7" t="n">
        <v>4</v>
      </c>
      <c r="B5" s="8" t="s">
        <v>167</v>
      </c>
      <c r="C5" s="8" t="s">
        <v>177</v>
      </c>
      <c r="D5" s="8" t="s">
        <v>178</v>
      </c>
      <c r="E5" s="8" t="s">
        <v>179</v>
      </c>
    </row>
    <row r="6" customFormat="false" ht="26.85" hidden="false" customHeight="false" outlineLevel="0" collapsed="false">
      <c r="A6" s="7" t="n">
        <v>5</v>
      </c>
      <c r="B6" s="8" t="s">
        <v>167</v>
      </c>
      <c r="C6" s="8" t="s">
        <v>180</v>
      </c>
      <c r="D6" s="8" t="s">
        <v>181</v>
      </c>
      <c r="E6" s="8" t="s">
        <v>182</v>
      </c>
    </row>
    <row r="7" customFormat="false" ht="26.85" hidden="false" customHeight="false" outlineLevel="0" collapsed="false">
      <c r="A7" s="7" t="n">
        <v>6</v>
      </c>
      <c r="B7" s="8" t="s">
        <v>167</v>
      </c>
      <c r="C7" s="8" t="s">
        <v>183</v>
      </c>
      <c r="D7" s="8" t="s">
        <v>184</v>
      </c>
      <c r="E7" s="8" t="s">
        <v>185</v>
      </c>
    </row>
    <row r="8" customFormat="false" ht="26.85" hidden="false" customHeight="false" outlineLevel="0" collapsed="false">
      <c r="A8" s="7" t="n">
        <v>7</v>
      </c>
      <c r="B8" s="8" t="s">
        <v>167</v>
      </c>
      <c r="C8" s="8" t="s">
        <v>186</v>
      </c>
      <c r="D8" s="8" t="s">
        <v>187</v>
      </c>
      <c r="E8" s="8" t="s">
        <v>188</v>
      </c>
    </row>
    <row r="9" customFormat="false" ht="15" hidden="false" customHeight="false" outlineLevel="0" collapsed="false">
      <c r="A9" s="7" t="n">
        <v>8</v>
      </c>
      <c r="B9" s="8" t="s">
        <v>189</v>
      </c>
      <c r="C9" s="8" t="s">
        <v>190</v>
      </c>
      <c r="D9" s="8" t="s">
        <v>13</v>
      </c>
      <c r="E9" s="8" t="s">
        <v>191</v>
      </c>
    </row>
    <row r="10" customFormat="false" ht="15" hidden="false" customHeight="false" outlineLevel="0" collapsed="false">
      <c r="A10" s="7" t="n">
        <v>9</v>
      </c>
      <c r="B10" s="8" t="s">
        <v>189</v>
      </c>
      <c r="C10" s="8" t="s">
        <v>192</v>
      </c>
      <c r="D10" s="8" t="s">
        <v>140</v>
      </c>
      <c r="E10" s="8" t="s">
        <v>193</v>
      </c>
    </row>
    <row r="11" customFormat="false" ht="15" hidden="false" customHeight="false" outlineLevel="0" collapsed="false">
      <c r="A11" s="7" t="n">
        <v>10</v>
      </c>
      <c r="B11" s="8" t="s">
        <v>189</v>
      </c>
      <c r="C11" s="8" t="s">
        <v>194</v>
      </c>
      <c r="D11" s="8" t="s">
        <v>55</v>
      </c>
      <c r="E11" s="8" t="s">
        <v>191</v>
      </c>
    </row>
    <row r="12" customFormat="false" ht="15" hidden="false" customHeight="false" outlineLevel="0" collapsed="false">
      <c r="A12" s="7" t="n">
        <v>11</v>
      </c>
      <c r="B12" s="8" t="s">
        <v>189</v>
      </c>
      <c r="C12" s="8" t="s">
        <v>195</v>
      </c>
      <c r="D12" s="8" t="s">
        <v>196</v>
      </c>
      <c r="E12" s="8" t="s">
        <v>197</v>
      </c>
    </row>
    <row r="13" customFormat="false" ht="15" hidden="false" customHeight="false" outlineLevel="0" collapsed="false">
      <c r="A13" s="7" t="n">
        <v>12</v>
      </c>
      <c r="B13" s="8" t="s">
        <v>189</v>
      </c>
      <c r="C13" s="8" t="s">
        <v>198</v>
      </c>
      <c r="D13" s="8" t="s">
        <v>199</v>
      </c>
      <c r="E13" s="8" t="s">
        <v>197</v>
      </c>
    </row>
    <row r="14" customFormat="false" ht="26.85" hidden="false" customHeight="false" outlineLevel="0" collapsed="false">
      <c r="A14" s="7" t="n">
        <v>13</v>
      </c>
      <c r="B14" s="8" t="s">
        <v>200</v>
      </c>
      <c r="C14" s="8" t="s">
        <v>201</v>
      </c>
      <c r="D14" s="8" t="s">
        <v>134</v>
      </c>
      <c r="E14" s="8" t="s">
        <v>202</v>
      </c>
    </row>
    <row r="15" customFormat="false" ht="15" hidden="false" customHeight="false" outlineLevel="0" collapsed="false">
      <c r="A15" s="7" t="n">
        <v>14</v>
      </c>
      <c r="B15" s="8" t="s">
        <v>200</v>
      </c>
      <c r="C15" s="8" t="s">
        <v>203</v>
      </c>
      <c r="D15" s="8" t="s">
        <v>30</v>
      </c>
      <c r="E15" s="8" t="s">
        <v>204</v>
      </c>
    </row>
    <row r="16" customFormat="false" ht="15" hidden="false" customHeight="false" outlineLevel="0" collapsed="false">
      <c r="A16" s="7" t="n">
        <v>15</v>
      </c>
      <c r="B16" s="8" t="s">
        <v>200</v>
      </c>
      <c r="C16" s="8" t="s">
        <v>205</v>
      </c>
      <c r="D16" s="8" t="s">
        <v>61</v>
      </c>
      <c r="E16" s="8" t="s">
        <v>204</v>
      </c>
    </row>
    <row r="17" customFormat="false" ht="15" hidden="false" customHeight="false" outlineLevel="0" collapsed="false">
      <c r="A17" s="7" t="n">
        <v>16</v>
      </c>
      <c r="B17" s="8" t="s">
        <v>200</v>
      </c>
      <c r="C17" s="8" t="s">
        <v>206</v>
      </c>
      <c r="D17" s="8" t="s">
        <v>150</v>
      </c>
      <c r="E17" s="8" t="s">
        <v>202</v>
      </c>
    </row>
    <row r="18" customFormat="false" ht="15" hidden="false" customHeight="false" outlineLevel="0" collapsed="false">
      <c r="A18" s="7" t="n">
        <v>17</v>
      </c>
      <c r="B18" s="8" t="s">
        <v>200</v>
      </c>
      <c r="C18" s="8" t="s">
        <v>207</v>
      </c>
      <c r="D18" s="8" t="s">
        <v>120</v>
      </c>
      <c r="E18" s="8" t="s">
        <v>202</v>
      </c>
    </row>
    <row r="19" customFormat="false" ht="26.85" hidden="false" customHeight="false" outlineLevel="0" collapsed="false">
      <c r="A19" s="7" t="n">
        <v>18</v>
      </c>
      <c r="B19" s="8" t="s">
        <v>208</v>
      </c>
      <c r="C19" s="8" t="s">
        <v>209</v>
      </c>
      <c r="D19" s="8" t="s">
        <v>133</v>
      </c>
      <c r="E19" s="8" t="s">
        <v>210</v>
      </c>
    </row>
    <row r="20" customFormat="false" ht="15" hidden="false" customHeight="false" outlineLevel="0" collapsed="false">
      <c r="A20" s="7" t="n">
        <v>19</v>
      </c>
      <c r="B20" s="8" t="s">
        <v>211</v>
      </c>
      <c r="C20" s="8" t="s">
        <v>212</v>
      </c>
      <c r="D20" s="8" t="s">
        <v>37</v>
      </c>
      <c r="E20" s="8" t="s">
        <v>213</v>
      </c>
    </row>
    <row r="21" customFormat="false" ht="15" hidden="false" customHeight="false" outlineLevel="0" collapsed="false">
      <c r="A21" s="7" t="n">
        <v>20</v>
      </c>
      <c r="B21" s="8" t="s">
        <v>211</v>
      </c>
      <c r="C21" s="8" t="s">
        <v>214</v>
      </c>
      <c r="D21" s="8" t="s">
        <v>126</v>
      </c>
      <c r="E21" s="8" t="s">
        <v>215</v>
      </c>
    </row>
    <row r="22" customFormat="false" ht="26.85" hidden="false" customHeight="false" outlineLevel="0" collapsed="false">
      <c r="A22" s="7" t="n">
        <v>21</v>
      </c>
      <c r="B22" s="8" t="s">
        <v>216</v>
      </c>
      <c r="C22" s="8" t="s">
        <v>217</v>
      </c>
      <c r="D22" s="8" t="s">
        <v>218</v>
      </c>
      <c r="E22" s="8" t="s">
        <v>219</v>
      </c>
    </row>
    <row r="23" customFormat="false" ht="26.85" hidden="false" customHeight="false" outlineLevel="0" collapsed="false">
      <c r="A23" s="7" t="n">
        <v>22</v>
      </c>
      <c r="B23" s="8" t="s">
        <v>220</v>
      </c>
      <c r="C23" s="8" t="s">
        <v>221</v>
      </c>
      <c r="D23" s="8" t="s">
        <v>82</v>
      </c>
      <c r="E23" s="8" t="s">
        <v>222</v>
      </c>
    </row>
    <row r="24" customFormat="false" ht="26.85" hidden="false" customHeight="false" outlineLevel="0" collapsed="false">
      <c r="A24" s="7" t="n">
        <v>23</v>
      </c>
      <c r="B24" s="8" t="s">
        <v>223</v>
      </c>
      <c r="C24" s="8" t="s">
        <v>48</v>
      </c>
      <c r="D24" s="8" t="s">
        <v>42</v>
      </c>
      <c r="E24" s="8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9" t="s">
        <v>225</v>
      </c>
      <c r="B1" s="9"/>
    </row>
    <row r="3" customFormat="false" ht="15" hidden="false" customHeight="false" outlineLevel="0" collapsed="false">
      <c r="A3" s="10" t="s">
        <v>226</v>
      </c>
      <c r="B3" s="11" t="n">
        <f aca="false">COUNTA('Before (Raw Data)'!A2:A26)</f>
        <v>25</v>
      </c>
    </row>
    <row r="4" customFormat="false" ht="15" hidden="false" customHeight="false" outlineLevel="0" collapsed="false">
      <c r="A4" s="10" t="s">
        <v>227</v>
      </c>
      <c r="B4" s="11" t="n">
        <f aca="false">COUNTA('After (Cleaned)'!A2:A14)</f>
        <v>13</v>
      </c>
    </row>
    <row r="5" customFormat="false" ht="15" hidden="false" customHeight="false" outlineLevel="0" collapsed="false">
      <c r="A5" s="10" t="s">
        <v>228</v>
      </c>
      <c r="B5" s="11" t="n">
        <v>7</v>
      </c>
    </row>
    <row r="6" customFormat="false" ht="15" hidden="false" customHeight="false" outlineLevel="0" collapsed="false">
      <c r="A6" s="10" t="s">
        <v>229</v>
      </c>
      <c r="B6" s="11" t="n">
        <v>5</v>
      </c>
    </row>
    <row r="7" customFormat="false" ht="15" hidden="false" customHeight="false" outlineLevel="0" collapsed="false">
      <c r="A7" s="10" t="s">
        <v>230</v>
      </c>
      <c r="B7" s="11" t="n">
        <v>5</v>
      </c>
    </row>
    <row r="8" customFormat="false" ht="15" hidden="false" customHeight="false" outlineLevel="0" collapsed="false">
      <c r="A8" s="10" t="s">
        <v>231</v>
      </c>
      <c r="B8" s="11" t="s">
        <v>232</v>
      </c>
    </row>
    <row r="9" customFormat="false" ht="15" hidden="false" customHeight="false" outlineLevel="0" collapsed="false">
      <c r="A9" s="10" t="s">
        <v>233</v>
      </c>
      <c r="B9" s="11" t="n">
        <v>1</v>
      </c>
    </row>
    <row r="10" customFormat="false" ht="15" hidden="false" customHeight="false" outlineLevel="0" collapsed="false">
      <c r="A10" s="10" t="s">
        <v>234</v>
      </c>
      <c r="B10" s="12" t="n">
        <f aca="false">'After (Cleaned)'!G16</f>
        <v>28950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2026-09-10T17:56:10Z</dcterms:created>
  <dc:creator>openpyxl</dc:creator>
  <dc:description/>
  <dc:language>en-US</dc:language>
  <cp:lastModifiedBy/>
  <dcterms:modified xsi:type="dcterms:W3CDTF">2026-09-10T17:56:10Z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