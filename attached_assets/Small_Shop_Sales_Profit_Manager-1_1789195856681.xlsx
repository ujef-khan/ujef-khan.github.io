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<sst xmlns="http://schemas.openxmlformats.org/spreadsheetml/2006/main" count="144" uniqueCount="42">
  <si>
    <t xml:space="preserve">SMALL SHOP SALES &amp; PROFIT MANAGER</t>
  </si>
  <si>
    <t xml:space="preserve">Daily Sales Register  |  01-Sep-26 to 15-Sep-26  |  Live formula-based sheet</t>
  </si>
  <si>
    <t xml:space="preserve">Date</t>
  </si>
  <si>
    <t xml:space="preserve">Product</t>
  </si>
  <si>
    <t xml:space="preserve">Category</t>
  </si>
  <si>
    <t xml:space="preserve">Qty</t>
  </si>
  <si>
    <t xml:space="preserve">Purchase Price (₹)</t>
  </si>
  <si>
    <t xml:space="preserve">Selling Price (₹)</t>
  </si>
  <si>
    <t xml:space="preserve">Sales (₹)</t>
  </si>
  <si>
    <t xml:space="preserve">Cost (₹)</t>
  </si>
  <si>
    <t xml:space="preserve">Profit (₹)</t>
  </si>
  <si>
    <t xml:space="preserve">Profit %</t>
  </si>
  <si>
    <t xml:space="preserve">Pencil</t>
  </si>
  <si>
    <t xml:space="preserve">Stationery</t>
  </si>
  <si>
    <t xml:space="preserve">Umbrella</t>
  </si>
  <si>
    <t xml:space="preserve">General</t>
  </si>
  <si>
    <t xml:space="preserve">Pen</t>
  </si>
  <si>
    <t xml:space="preserve">Bottle</t>
  </si>
  <si>
    <t xml:space="preserve">Biscuit Pack</t>
  </si>
  <si>
    <t xml:space="preserve">Eraser</t>
  </si>
  <si>
    <t xml:space="preserve">Stapler</t>
  </si>
  <si>
    <t xml:space="preserve">Notebook</t>
  </si>
  <si>
    <t xml:space="preserve">Detergent Soap</t>
  </si>
  <si>
    <t xml:space="preserve">Sharpener</t>
  </si>
  <si>
    <t xml:space="preserve">File Folder</t>
  </si>
  <si>
    <t xml:space="preserve">Register</t>
  </si>
  <si>
    <t xml:space="preserve">Geometry Box</t>
  </si>
  <si>
    <t xml:space="preserve">Mug</t>
  </si>
  <si>
    <t xml:space="preserve">Lunch Box</t>
  </si>
  <si>
    <t xml:space="preserve">Formula Logic</t>
  </si>
  <si>
    <t xml:space="preserve">•  Sales = Qty × Selling Price</t>
  </si>
  <si>
    <t xml:space="preserve">•  Cost = Qty × Purchase Price</t>
  </si>
  <si>
    <t xml:space="preserve">•  Profit = Sales − Cost</t>
  </si>
  <si>
    <t xml:space="preserve">•  Profit % = (Profit ÷ Cost) × 100</t>
  </si>
  <si>
    <t xml:space="preserve">SHOP PROFIT DASHBOARD</t>
  </si>
  <si>
    <t xml:space="preserve">TOTAL SALES</t>
  </si>
  <si>
    <t xml:space="preserve">TOTAL COST</t>
  </si>
  <si>
    <t xml:space="preserve">TOTAL PROFIT</t>
  </si>
  <si>
    <t xml:space="preserve">PROFIT %</t>
  </si>
  <si>
    <t xml:space="preserve">BEST PRODUCT</t>
  </si>
  <si>
    <t xml:space="preserve">Product-wise Summary</t>
  </si>
  <si>
    <t xml:space="preserve">Qty Sold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</si>
</sst>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\₹#,##0"/>
    <numFmt numFmtId="167" formatCode="0.0\%"/>
    <numFmt numFmtId="168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2A44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.5"/>
      <color rgb="FF475467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1F2A44"/>
      <name val="Arial"/>
      <family val="0"/>
      <charset val="1"/>
    </font>
    <font>
      <b val="true"/>
      <sz val="13"/>
      <color rgb="FF1F2A44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4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8702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02A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47546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Product-wise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Dashboard!E21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Dashboard!$A$22:$A$36</c:f>
              <c:strCache>
                <c:ptCount val="15"/>
                <c:pt idx="0">
                  <c:v>Notebook</c:v>
                </c:pt>
                <c:pt idx="1">
                  <c:v>Pen</c:v>
                </c:pt>
                <c:pt idx="2">
                  <c:v>Pencil</c:v>
                </c:pt>
                <c:pt idx="3">
                  <c:v>Eraser</c:v>
                </c:pt>
                <c:pt idx="4">
                  <c:v>Sharpener</c:v>
                </c:pt>
                <c:pt idx="5">
                  <c:v>Register</c:v>
                </c:pt>
                <c:pt idx="6">
                  <c:v>Stapler</c:v>
                </c:pt>
                <c:pt idx="7">
                  <c:v>Geometry Box</c:v>
                </c:pt>
                <c:pt idx="8">
                  <c:v>File Folder</c:v>
                </c:pt>
                <c:pt idx="9">
                  <c:v>Bottle</c:v>
                </c:pt>
                <c:pt idx="10">
                  <c:v>Umbrella</c:v>
                </c:pt>
                <c:pt idx="11">
                  <c:v>Lunch Box</c:v>
                </c:pt>
                <c:pt idx="12">
                  <c:v>Mug</c:v>
                </c:pt>
                <c:pt idx="13">
                  <c:v>Detergent Soap</c:v>
                </c:pt>
                <c:pt idx="14">
                  <c:v>Biscuit Pack</c:v>
                </c:pt>
              </c:strCache>
            </c:strRef>
          </c:cat>
          <c:val>
            <c:numRef>
              <c:f>Dashboard!$E$22:$E$36</c:f>
              <c:numCache>
                <c:formatCode>\₹#,##0</c:formatCode>
                <c:ptCount val="15"/>
                <c:pt idx="0">
                  <c:v>825</c:v>
                </c:pt>
                <c:pt idx="1">
                  <c:v>1645</c:v>
                </c:pt>
                <c:pt idx="2">
                  <c:v>297</c:v>
                </c:pt>
                <c:pt idx="3">
                  <c:v>159</c:v>
                </c:pt>
                <c:pt idx="4">
                  <c:v>116</c:v>
                </c:pt>
                <c:pt idx="5">
                  <c:v>2975</c:v>
                </c:pt>
                <c:pt idx="6">
                  <c:v>1325</c:v>
                </c:pt>
                <c:pt idx="7">
                  <c:v>3780</c:v>
                </c:pt>
                <c:pt idx="8">
                  <c:v>1670</c:v>
                </c:pt>
                <c:pt idx="9">
                  <c:v>2200</c:v>
                </c:pt>
                <c:pt idx="10">
                  <c:v>1540</c:v>
                </c:pt>
                <c:pt idx="11">
                  <c:v>1250</c:v>
                </c:pt>
                <c:pt idx="12">
                  <c:v>105</c:v>
                </c:pt>
                <c:pt idx="13">
                  <c:v>72</c:v>
                </c:pt>
                <c:pt idx="14">
                  <c:v>460</c:v>
                </c:pt>
              </c:numCache>
            </c:numRef>
          </c:val>
        </c:ser>
        <c:gapWidth val="150"/>
        <c:overlap val="0"/>
        <c:axId val="22310389"/>
        <c:axId val="40435622"/>
      </c:barChart>
      <c:catAx>
        <c:axId val="223103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35622"/>
        <c:crosses val="autoZero"/>
        <c:auto val="1"/>
        <c:lblAlgn val="ctr"/>
        <c:lblOffset val="100"/>
        <c:noMultiLvlLbl val="0"/>
      </c:catAx>
      <c:valAx>
        <c:axId val="40435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103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13</xdr:col>
      <xdr:colOff>444600</xdr:colOff>
      <xdr:row>25</xdr:row>
      <xdr:rowOff>170640</xdr:rowOff>
    </xdr:to>
    <xdr:graphicFrame>
      <xdr:nvGraphicFramePr>
        <xdr:cNvPr id="0" name="Chart 1"/>
        <xdr:cNvGraphicFramePr/>
      </xdr:nvGraphicFramePr>
      <xdr:xfrm>
        <a:off x="0" y="170496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46266</v>
      </c>
      <c r="B5" s="5" t="s">
        <v>12</v>
      </c>
      <c r="C5" s="6" t="s">
        <v>13</v>
      </c>
      <c r="D5" s="6" t="n">
        <v>28</v>
      </c>
      <c r="E5" s="7" t="n">
        <v>3</v>
      </c>
      <c r="F5" s="7" t="n">
        <v>6</v>
      </c>
      <c r="G5" s="7" t="n">
        <f aca="false">D5*F5</f>
        <v>168</v>
      </c>
      <c r="H5" s="7" t="n">
        <f aca="false">D5*E5</f>
        <v>84</v>
      </c>
      <c r="I5" s="7" t="n">
        <f aca="false">G5-H5</f>
        <v>84</v>
      </c>
      <c r="J5" s="8" t="n">
        <f aca="false">I5/H5*100</f>
        <v>100</v>
      </c>
    </row>
    <row r="6" customFormat="false" ht="15" hidden="false" customHeight="false" outlineLevel="0" collapsed="false">
      <c r="A6" s="9" t="n">
        <v>46266</v>
      </c>
      <c r="B6" s="10" t="s">
        <v>14</v>
      </c>
      <c r="C6" s="11" t="s">
        <v>15</v>
      </c>
      <c r="D6" s="11" t="n">
        <v>3</v>
      </c>
      <c r="E6" s="12" t="n">
        <v>150</v>
      </c>
      <c r="F6" s="12" t="n">
        <v>220</v>
      </c>
      <c r="G6" s="12" t="n">
        <f aca="false">D6*F6</f>
        <v>660</v>
      </c>
      <c r="H6" s="12" t="n">
        <f aca="false">D6*E6</f>
        <v>450</v>
      </c>
      <c r="I6" s="12" t="n">
        <f aca="false">G6-H6</f>
        <v>210</v>
      </c>
      <c r="J6" s="13" t="n">
        <f aca="false">I6/H6*100</f>
        <v>46.6666666666667</v>
      </c>
    </row>
    <row r="7" customFormat="false" ht="15" hidden="false" customHeight="false" outlineLevel="0" collapsed="false">
      <c r="A7" s="4" t="n">
        <v>46266</v>
      </c>
      <c r="B7" s="5" t="s">
        <v>16</v>
      </c>
      <c r="C7" s="6" t="s">
        <v>13</v>
      </c>
      <c r="D7" s="6" t="n">
        <v>55</v>
      </c>
      <c r="E7" s="7" t="n">
        <v>5</v>
      </c>
      <c r="F7" s="7" t="n">
        <v>10</v>
      </c>
      <c r="G7" s="7" t="n">
        <f aca="false">D7*F7</f>
        <v>550</v>
      </c>
      <c r="H7" s="7" t="n">
        <f aca="false">D7*E7</f>
        <v>275</v>
      </c>
      <c r="I7" s="7" t="n">
        <f aca="false">G7-H7</f>
        <v>275</v>
      </c>
      <c r="J7" s="8" t="n">
        <f aca="false">I7/H7*100</f>
        <v>100</v>
      </c>
    </row>
    <row r="8" customFormat="false" ht="15" hidden="false" customHeight="false" outlineLevel="0" collapsed="false">
      <c r="A8" s="9" t="n">
        <v>46267</v>
      </c>
      <c r="B8" s="10" t="s">
        <v>16</v>
      </c>
      <c r="C8" s="11" t="s">
        <v>13</v>
      </c>
      <c r="D8" s="11" t="n">
        <v>26</v>
      </c>
      <c r="E8" s="12" t="n">
        <v>5</v>
      </c>
      <c r="F8" s="12" t="n">
        <v>10</v>
      </c>
      <c r="G8" s="12" t="n">
        <f aca="false">D8*F8</f>
        <v>260</v>
      </c>
      <c r="H8" s="12" t="n">
        <f aca="false">D8*E8</f>
        <v>130</v>
      </c>
      <c r="I8" s="12" t="n">
        <f aca="false">G8-H8</f>
        <v>130</v>
      </c>
      <c r="J8" s="13" t="n">
        <f aca="false">I8/H8*100</f>
        <v>100</v>
      </c>
    </row>
    <row r="9" customFormat="false" ht="15" hidden="false" customHeight="false" outlineLevel="0" collapsed="false">
      <c r="A9" s="4" t="n">
        <v>46267</v>
      </c>
      <c r="B9" s="5" t="s">
        <v>17</v>
      </c>
      <c r="C9" s="6" t="s">
        <v>15</v>
      </c>
      <c r="D9" s="6" t="n">
        <v>3</v>
      </c>
      <c r="E9" s="7" t="n">
        <v>80</v>
      </c>
      <c r="F9" s="7" t="n">
        <v>120</v>
      </c>
      <c r="G9" s="7" t="n">
        <f aca="false">D9*F9</f>
        <v>360</v>
      </c>
      <c r="H9" s="7" t="n">
        <f aca="false">D9*E9</f>
        <v>240</v>
      </c>
      <c r="I9" s="7" t="n">
        <f aca="false">G9-H9</f>
        <v>120</v>
      </c>
      <c r="J9" s="8" t="n">
        <f aca="false">I9/H9*100</f>
        <v>50</v>
      </c>
    </row>
    <row r="10" customFormat="false" ht="15" hidden="false" customHeight="false" outlineLevel="0" collapsed="false">
      <c r="A10" s="9" t="n">
        <v>46267</v>
      </c>
      <c r="B10" s="10" t="s">
        <v>18</v>
      </c>
      <c r="C10" s="11" t="s">
        <v>15</v>
      </c>
      <c r="D10" s="11" t="n">
        <v>18</v>
      </c>
      <c r="E10" s="12" t="n">
        <v>20</v>
      </c>
      <c r="F10" s="12" t="n">
        <v>30</v>
      </c>
      <c r="G10" s="12" t="n">
        <f aca="false">D10*F10</f>
        <v>540</v>
      </c>
      <c r="H10" s="12" t="n">
        <f aca="false">D10*E10</f>
        <v>360</v>
      </c>
      <c r="I10" s="12" t="n">
        <f aca="false">G10-H10</f>
        <v>180</v>
      </c>
      <c r="J10" s="13" t="n">
        <f aca="false">I10/H10*100</f>
        <v>50</v>
      </c>
    </row>
    <row r="11" customFormat="false" ht="15" hidden="false" customHeight="false" outlineLevel="0" collapsed="false">
      <c r="A11" s="4" t="n">
        <v>46267</v>
      </c>
      <c r="B11" s="5" t="s">
        <v>19</v>
      </c>
      <c r="C11" s="6" t="s">
        <v>13</v>
      </c>
      <c r="D11" s="6" t="n">
        <v>5</v>
      </c>
      <c r="E11" s="7" t="n">
        <v>2</v>
      </c>
      <c r="F11" s="7" t="n">
        <v>5</v>
      </c>
      <c r="G11" s="7" t="n">
        <f aca="false">D11*F11</f>
        <v>25</v>
      </c>
      <c r="H11" s="7" t="n">
        <f aca="false">D11*E11</f>
        <v>10</v>
      </c>
      <c r="I11" s="7" t="n">
        <f aca="false">G11-H11</f>
        <v>15</v>
      </c>
      <c r="J11" s="8" t="n">
        <f aca="false">I11/H11*100</f>
        <v>150</v>
      </c>
    </row>
    <row r="12" customFormat="false" ht="15" hidden="false" customHeight="false" outlineLevel="0" collapsed="false">
      <c r="A12" s="9" t="n">
        <v>46268</v>
      </c>
      <c r="B12" s="10" t="s">
        <v>20</v>
      </c>
      <c r="C12" s="11" t="s">
        <v>13</v>
      </c>
      <c r="D12" s="11" t="n">
        <v>29</v>
      </c>
      <c r="E12" s="12" t="n">
        <v>45</v>
      </c>
      <c r="F12" s="12" t="n">
        <v>70</v>
      </c>
      <c r="G12" s="12" t="n">
        <f aca="false">D12*F12</f>
        <v>2030</v>
      </c>
      <c r="H12" s="12" t="n">
        <f aca="false">D12*E12</f>
        <v>1305</v>
      </c>
      <c r="I12" s="12" t="n">
        <f aca="false">G12-H12</f>
        <v>725</v>
      </c>
      <c r="J12" s="13" t="n">
        <f aca="false">I12/H12*100</f>
        <v>55.5555555555556</v>
      </c>
    </row>
    <row r="13" customFormat="false" ht="15" hidden="false" customHeight="false" outlineLevel="0" collapsed="false">
      <c r="A13" s="4" t="n">
        <v>46268</v>
      </c>
      <c r="B13" s="5" t="s">
        <v>16</v>
      </c>
      <c r="C13" s="6" t="s">
        <v>13</v>
      </c>
      <c r="D13" s="6" t="n">
        <v>18</v>
      </c>
      <c r="E13" s="7" t="n">
        <v>5</v>
      </c>
      <c r="F13" s="7" t="n">
        <v>10</v>
      </c>
      <c r="G13" s="7" t="n">
        <f aca="false">D13*F13</f>
        <v>180</v>
      </c>
      <c r="H13" s="7" t="n">
        <f aca="false">D13*E13</f>
        <v>90</v>
      </c>
      <c r="I13" s="7" t="n">
        <f aca="false">G13-H13</f>
        <v>90</v>
      </c>
      <c r="J13" s="8" t="n">
        <f aca="false">I13/H13*100</f>
        <v>100</v>
      </c>
    </row>
    <row r="14" customFormat="false" ht="15" hidden="false" customHeight="false" outlineLevel="0" collapsed="false">
      <c r="A14" s="9" t="n">
        <v>46268</v>
      </c>
      <c r="B14" s="10" t="s">
        <v>16</v>
      </c>
      <c r="C14" s="11" t="s">
        <v>13</v>
      </c>
      <c r="D14" s="11" t="n">
        <v>38</v>
      </c>
      <c r="E14" s="12" t="n">
        <v>5</v>
      </c>
      <c r="F14" s="12" t="n">
        <v>10</v>
      </c>
      <c r="G14" s="12" t="n">
        <f aca="false">D14*F14</f>
        <v>380</v>
      </c>
      <c r="H14" s="12" t="n">
        <f aca="false">D14*E14</f>
        <v>190</v>
      </c>
      <c r="I14" s="12" t="n">
        <f aca="false">G14-H14</f>
        <v>190</v>
      </c>
      <c r="J14" s="13" t="n">
        <f aca="false">I14/H14*100</f>
        <v>100</v>
      </c>
    </row>
    <row r="15" customFormat="false" ht="15" hidden="false" customHeight="false" outlineLevel="0" collapsed="false">
      <c r="A15" s="4" t="n">
        <v>46269</v>
      </c>
      <c r="B15" s="5" t="s">
        <v>21</v>
      </c>
      <c r="C15" s="6" t="s">
        <v>13</v>
      </c>
      <c r="D15" s="6" t="n">
        <v>55</v>
      </c>
      <c r="E15" s="7" t="n">
        <v>25</v>
      </c>
      <c r="F15" s="7" t="n">
        <v>40</v>
      </c>
      <c r="G15" s="7" t="n">
        <f aca="false">D15*F15</f>
        <v>2200</v>
      </c>
      <c r="H15" s="7" t="n">
        <f aca="false">D15*E15</f>
        <v>1375</v>
      </c>
      <c r="I15" s="7" t="n">
        <f aca="false">G15-H15</f>
        <v>825</v>
      </c>
      <c r="J15" s="8" t="n">
        <f aca="false">I15/H15*100</f>
        <v>60</v>
      </c>
    </row>
    <row r="16" customFormat="false" ht="15" hidden="false" customHeight="false" outlineLevel="0" collapsed="false">
      <c r="A16" s="9" t="n">
        <v>46269</v>
      </c>
      <c r="B16" s="10" t="s">
        <v>17</v>
      </c>
      <c r="C16" s="11" t="s">
        <v>15</v>
      </c>
      <c r="D16" s="11" t="n">
        <v>5</v>
      </c>
      <c r="E16" s="12" t="n">
        <v>80</v>
      </c>
      <c r="F16" s="12" t="n">
        <v>120</v>
      </c>
      <c r="G16" s="12" t="n">
        <f aca="false">D16*F16</f>
        <v>600</v>
      </c>
      <c r="H16" s="12" t="n">
        <f aca="false">D16*E16</f>
        <v>400</v>
      </c>
      <c r="I16" s="12" t="n">
        <f aca="false">G16-H16</f>
        <v>200</v>
      </c>
      <c r="J16" s="13" t="n">
        <f aca="false">I16/H16*100</f>
        <v>50</v>
      </c>
    </row>
    <row r="17" customFormat="false" ht="15" hidden="false" customHeight="false" outlineLevel="0" collapsed="false">
      <c r="A17" s="4" t="n">
        <v>46269</v>
      </c>
      <c r="B17" s="5" t="s">
        <v>19</v>
      </c>
      <c r="C17" s="6" t="s">
        <v>13</v>
      </c>
      <c r="D17" s="6" t="n">
        <v>43</v>
      </c>
      <c r="E17" s="7" t="n">
        <v>2</v>
      </c>
      <c r="F17" s="7" t="n">
        <v>5</v>
      </c>
      <c r="G17" s="7" t="n">
        <f aca="false">D17*F17</f>
        <v>215</v>
      </c>
      <c r="H17" s="7" t="n">
        <f aca="false">D17*E17</f>
        <v>86</v>
      </c>
      <c r="I17" s="7" t="n">
        <f aca="false">G17-H17</f>
        <v>129</v>
      </c>
      <c r="J17" s="8" t="n">
        <f aca="false">I17/H17*100</f>
        <v>150</v>
      </c>
    </row>
    <row r="18" customFormat="false" ht="15" hidden="false" customHeight="false" outlineLevel="0" collapsed="false">
      <c r="A18" s="9" t="n">
        <v>46270</v>
      </c>
      <c r="B18" s="10" t="s">
        <v>17</v>
      </c>
      <c r="C18" s="11" t="s">
        <v>15</v>
      </c>
      <c r="D18" s="11" t="n">
        <v>3</v>
      </c>
      <c r="E18" s="12" t="n">
        <v>80</v>
      </c>
      <c r="F18" s="12" t="n">
        <v>120</v>
      </c>
      <c r="G18" s="12" t="n">
        <f aca="false">D18*F18</f>
        <v>360</v>
      </c>
      <c r="H18" s="12" t="n">
        <f aca="false">D18*E18</f>
        <v>240</v>
      </c>
      <c r="I18" s="12" t="n">
        <f aca="false">G18-H18</f>
        <v>120</v>
      </c>
      <c r="J18" s="13" t="n">
        <f aca="false">I18/H18*100</f>
        <v>50</v>
      </c>
    </row>
    <row r="19" customFormat="false" ht="15" hidden="false" customHeight="false" outlineLevel="0" collapsed="false">
      <c r="A19" s="4" t="n">
        <v>46270</v>
      </c>
      <c r="B19" s="5" t="s">
        <v>17</v>
      </c>
      <c r="C19" s="6" t="s">
        <v>15</v>
      </c>
      <c r="D19" s="6" t="n">
        <v>20</v>
      </c>
      <c r="E19" s="7" t="n">
        <v>80</v>
      </c>
      <c r="F19" s="7" t="n">
        <v>120</v>
      </c>
      <c r="G19" s="7" t="n">
        <f aca="false">D19*F19</f>
        <v>2400</v>
      </c>
      <c r="H19" s="7" t="n">
        <f aca="false">D19*E19</f>
        <v>1600</v>
      </c>
      <c r="I19" s="7" t="n">
        <f aca="false">G19-H19</f>
        <v>800</v>
      </c>
      <c r="J19" s="8" t="n">
        <f aca="false">I19/H19*100</f>
        <v>50</v>
      </c>
    </row>
    <row r="20" customFormat="false" ht="15" hidden="false" customHeight="false" outlineLevel="0" collapsed="false">
      <c r="A20" s="9" t="n">
        <v>46270</v>
      </c>
      <c r="B20" s="10" t="s">
        <v>20</v>
      </c>
      <c r="C20" s="11" t="s">
        <v>13</v>
      </c>
      <c r="D20" s="11" t="n">
        <v>6</v>
      </c>
      <c r="E20" s="12" t="n">
        <v>45</v>
      </c>
      <c r="F20" s="12" t="n">
        <v>70</v>
      </c>
      <c r="G20" s="12" t="n">
        <f aca="false">D20*F20</f>
        <v>420</v>
      </c>
      <c r="H20" s="12" t="n">
        <f aca="false">D20*E20</f>
        <v>270</v>
      </c>
      <c r="I20" s="12" t="n">
        <f aca="false">G20-H20</f>
        <v>150</v>
      </c>
      <c r="J20" s="13" t="n">
        <f aca="false">I20/H20*100</f>
        <v>55.5555555555556</v>
      </c>
    </row>
    <row r="21" customFormat="false" ht="15" hidden="false" customHeight="false" outlineLevel="0" collapsed="false">
      <c r="A21" s="4" t="n">
        <v>46270</v>
      </c>
      <c r="B21" s="5" t="s">
        <v>19</v>
      </c>
      <c r="C21" s="6" t="s">
        <v>13</v>
      </c>
      <c r="D21" s="6" t="n">
        <v>5</v>
      </c>
      <c r="E21" s="7" t="n">
        <v>2</v>
      </c>
      <c r="F21" s="7" t="n">
        <v>5</v>
      </c>
      <c r="G21" s="7" t="n">
        <f aca="false">D21*F21</f>
        <v>25</v>
      </c>
      <c r="H21" s="7" t="n">
        <f aca="false">D21*E21</f>
        <v>10</v>
      </c>
      <c r="I21" s="7" t="n">
        <f aca="false">G21-H21</f>
        <v>15</v>
      </c>
      <c r="J21" s="8" t="n">
        <f aca="false">I21/H21*100</f>
        <v>150</v>
      </c>
    </row>
    <row r="22" customFormat="false" ht="15" hidden="false" customHeight="false" outlineLevel="0" collapsed="false">
      <c r="A22" s="9" t="n">
        <v>46271</v>
      </c>
      <c r="B22" s="10" t="s">
        <v>22</v>
      </c>
      <c r="C22" s="11" t="s">
        <v>15</v>
      </c>
      <c r="D22" s="11" t="n">
        <v>6</v>
      </c>
      <c r="E22" s="12" t="n">
        <v>20</v>
      </c>
      <c r="F22" s="12" t="n">
        <v>32</v>
      </c>
      <c r="G22" s="12" t="n">
        <f aca="false">D22*F22</f>
        <v>192</v>
      </c>
      <c r="H22" s="12" t="n">
        <f aca="false">D22*E22</f>
        <v>120</v>
      </c>
      <c r="I22" s="12" t="n">
        <f aca="false">G22-H22</f>
        <v>72</v>
      </c>
      <c r="J22" s="13" t="n">
        <f aca="false">I22/H22*100</f>
        <v>60</v>
      </c>
    </row>
    <row r="23" customFormat="false" ht="15" hidden="false" customHeight="false" outlineLevel="0" collapsed="false">
      <c r="A23" s="4" t="n">
        <v>46271</v>
      </c>
      <c r="B23" s="5" t="s">
        <v>23</v>
      </c>
      <c r="C23" s="6" t="s">
        <v>13</v>
      </c>
      <c r="D23" s="6" t="n">
        <v>29</v>
      </c>
      <c r="E23" s="7" t="n">
        <v>3</v>
      </c>
      <c r="F23" s="7" t="n">
        <v>7</v>
      </c>
      <c r="G23" s="7" t="n">
        <f aca="false">D23*F23</f>
        <v>203</v>
      </c>
      <c r="H23" s="7" t="n">
        <f aca="false">D23*E23</f>
        <v>87</v>
      </c>
      <c r="I23" s="7" t="n">
        <f aca="false">G23-H23</f>
        <v>116</v>
      </c>
      <c r="J23" s="8" t="n">
        <f aca="false">I23/H23*100</f>
        <v>133.333333333333</v>
      </c>
    </row>
    <row r="24" customFormat="false" ht="15" hidden="false" customHeight="false" outlineLevel="0" collapsed="false">
      <c r="A24" s="9" t="n">
        <v>46271</v>
      </c>
      <c r="B24" s="10" t="s">
        <v>12</v>
      </c>
      <c r="C24" s="11" t="s">
        <v>13</v>
      </c>
      <c r="D24" s="11" t="n">
        <v>37</v>
      </c>
      <c r="E24" s="12" t="n">
        <v>3</v>
      </c>
      <c r="F24" s="12" t="n">
        <v>6</v>
      </c>
      <c r="G24" s="12" t="n">
        <f aca="false">D24*F24</f>
        <v>222</v>
      </c>
      <c r="H24" s="12" t="n">
        <f aca="false">D24*E24</f>
        <v>111</v>
      </c>
      <c r="I24" s="12" t="n">
        <f aca="false">G24-H24</f>
        <v>111</v>
      </c>
      <c r="J24" s="13" t="n">
        <f aca="false">I24/H24*100</f>
        <v>100</v>
      </c>
    </row>
    <row r="25" customFormat="false" ht="15" hidden="false" customHeight="false" outlineLevel="0" collapsed="false">
      <c r="A25" s="4" t="n">
        <v>46271</v>
      </c>
      <c r="B25" s="5" t="s">
        <v>16</v>
      </c>
      <c r="C25" s="6" t="s">
        <v>13</v>
      </c>
      <c r="D25" s="6" t="n">
        <v>39</v>
      </c>
      <c r="E25" s="7" t="n">
        <v>5</v>
      </c>
      <c r="F25" s="7" t="n">
        <v>10</v>
      </c>
      <c r="G25" s="7" t="n">
        <f aca="false">D25*F25</f>
        <v>390</v>
      </c>
      <c r="H25" s="7" t="n">
        <f aca="false">D25*E25</f>
        <v>195</v>
      </c>
      <c r="I25" s="7" t="n">
        <f aca="false">G25-H25</f>
        <v>195</v>
      </c>
      <c r="J25" s="8" t="n">
        <f aca="false">I25/H25*100</f>
        <v>100</v>
      </c>
    </row>
    <row r="26" customFormat="false" ht="15" hidden="false" customHeight="false" outlineLevel="0" collapsed="false">
      <c r="A26" s="9" t="n">
        <v>46272</v>
      </c>
      <c r="B26" s="10" t="s">
        <v>24</v>
      </c>
      <c r="C26" s="11" t="s">
        <v>13</v>
      </c>
      <c r="D26" s="11" t="n">
        <v>55</v>
      </c>
      <c r="E26" s="12" t="n">
        <v>15</v>
      </c>
      <c r="F26" s="12" t="n">
        <v>25</v>
      </c>
      <c r="G26" s="12" t="n">
        <f aca="false">D26*F26</f>
        <v>1375</v>
      </c>
      <c r="H26" s="12" t="n">
        <f aca="false">D26*E26</f>
        <v>825</v>
      </c>
      <c r="I26" s="12" t="n">
        <f aca="false">G26-H26</f>
        <v>550</v>
      </c>
      <c r="J26" s="13" t="n">
        <f aca="false">I26/H26*100</f>
        <v>66.6666666666667</v>
      </c>
    </row>
    <row r="27" customFormat="false" ht="15" hidden="false" customHeight="false" outlineLevel="0" collapsed="false">
      <c r="A27" s="4" t="n">
        <v>46272</v>
      </c>
      <c r="B27" s="5" t="s">
        <v>14</v>
      </c>
      <c r="C27" s="6" t="s">
        <v>15</v>
      </c>
      <c r="D27" s="6" t="n">
        <v>7</v>
      </c>
      <c r="E27" s="7" t="n">
        <v>150</v>
      </c>
      <c r="F27" s="7" t="n">
        <v>220</v>
      </c>
      <c r="G27" s="7" t="n">
        <f aca="false">D27*F27</f>
        <v>1540</v>
      </c>
      <c r="H27" s="7" t="n">
        <f aca="false">D27*E27</f>
        <v>1050</v>
      </c>
      <c r="I27" s="7" t="n">
        <f aca="false">G27-H27</f>
        <v>490</v>
      </c>
      <c r="J27" s="8" t="n">
        <f aca="false">I27/H27*100</f>
        <v>46.6666666666667</v>
      </c>
    </row>
    <row r="28" customFormat="false" ht="15" hidden="false" customHeight="false" outlineLevel="0" collapsed="false">
      <c r="A28" s="9" t="n">
        <v>46272</v>
      </c>
      <c r="B28" s="10" t="s">
        <v>16</v>
      </c>
      <c r="C28" s="11" t="s">
        <v>13</v>
      </c>
      <c r="D28" s="11" t="n">
        <v>40</v>
      </c>
      <c r="E28" s="12" t="n">
        <v>5</v>
      </c>
      <c r="F28" s="12" t="n">
        <v>10</v>
      </c>
      <c r="G28" s="12" t="n">
        <f aca="false">D28*F28</f>
        <v>400</v>
      </c>
      <c r="H28" s="12" t="n">
        <f aca="false">D28*E28</f>
        <v>200</v>
      </c>
      <c r="I28" s="12" t="n">
        <f aca="false">G28-H28</f>
        <v>200</v>
      </c>
      <c r="J28" s="13" t="n">
        <f aca="false">I28/H28*100</f>
        <v>100</v>
      </c>
    </row>
    <row r="29" customFormat="false" ht="15" hidden="false" customHeight="false" outlineLevel="0" collapsed="false">
      <c r="A29" s="4" t="n">
        <v>46273</v>
      </c>
      <c r="B29" s="5" t="s">
        <v>14</v>
      </c>
      <c r="C29" s="6" t="s">
        <v>15</v>
      </c>
      <c r="D29" s="6" t="n">
        <v>8</v>
      </c>
      <c r="E29" s="7" t="n">
        <v>150</v>
      </c>
      <c r="F29" s="7" t="n">
        <v>220</v>
      </c>
      <c r="G29" s="7" t="n">
        <f aca="false">D29*F29</f>
        <v>1760</v>
      </c>
      <c r="H29" s="7" t="n">
        <f aca="false">D29*E29</f>
        <v>1200</v>
      </c>
      <c r="I29" s="7" t="n">
        <f aca="false">G29-H29</f>
        <v>560</v>
      </c>
      <c r="J29" s="8" t="n">
        <f aca="false">I29/H29*100</f>
        <v>46.6666666666667</v>
      </c>
    </row>
    <row r="30" customFormat="false" ht="15" hidden="false" customHeight="false" outlineLevel="0" collapsed="false">
      <c r="A30" s="9" t="n">
        <v>46273</v>
      </c>
      <c r="B30" s="10" t="s">
        <v>25</v>
      </c>
      <c r="C30" s="11" t="s">
        <v>13</v>
      </c>
      <c r="D30" s="11" t="n">
        <v>9</v>
      </c>
      <c r="E30" s="12" t="n">
        <v>45</v>
      </c>
      <c r="F30" s="12" t="n">
        <v>70</v>
      </c>
      <c r="G30" s="12" t="n">
        <f aca="false">D30*F30</f>
        <v>630</v>
      </c>
      <c r="H30" s="12" t="n">
        <f aca="false">D30*E30</f>
        <v>405</v>
      </c>
      <c r="I30" s="12" t="n">
        <f aca="false">G30-H30</f>
        <v>225</v>
      </c>
      <c r="J30" s="13" t="n">
        <f aca="false">I30/H30*100</f>
        <v>55.5555555555556</v>
      </c>
    </row>
    <row r="31" customFormat="false" ht="15" hidden="false" customHeight="false" outlineLevel="0" collapsed="false">
      <c r="A31" s="4" t="n">
        <v>46273</v>
      </c>
      <c r="B31" s="5" t="s">
        <v>24</v>
      </c>
      <c r="C31" s="6" t="s">
        <v>13</v>
      </c>
      <c r="D31" s="6" t="n">
        <v>48</v>
      </c>
      <c r="E31" s="7" t="n">
        <v>15</v>
      </c>
      <c r="F31" s="7" t="n">
        <v>25</v>
      </c>
      <c r="G31" s="7" t="n">
        <f aca="false">D31*F31</f>
        <v>1200</v>
      </c>
      <c r="H31" s="7" t="n">
        <f aca="false">D31*E31</f>
        <v>720</v>
      </c>
      <c r="I31" s="7" t="n">
        <f aca="false">G31-H31</f>
        <v>480</v>
      </c>
      <c r="J31" s="8" t="n">
        <f aca="false">I31/H31*100</f>
        <v>66.6666666666667</v>
      </c>
    </row>
    <row r="32" customFormat="false" ht="15" hidden="false" customHeight="false" outlineLevel="0" collapsed="false">
      <c r="A32" s="9" t="n">
        <v>46273</v>
      </c>
      <c r="B32" s="10" t="s">
        <v>16</v>
      </c>
      <c r="C32" s="11" t="s">
        <v>13</v>
      </c>
      <c r="D32" s="11" t="n">
        <v>39</v>
      </c>
      <c r="E32" s="12" t="n">
        <v>5</v>
      </c>
      <c r="F32" s="12" t="n">
        <v>10</v>
      </c>
      <c r="G32" s="12" t="n">
        <f aca="false">D32*F32</f>
        <v>390</v>
      </c>
      <c r="H32" s="12" t="n">
        <f aca="false">D32*E32</f>
        <v>195</v>
      </c>
      <c r="I32" s="12" t="n">
        <f aca="false">G32-H32</f>
        <v>195</v>
      </c>
      <c r="J32" s="13" t="n">
        <f aca="false">I32/H32*100</f>
        <v>100</v>
      </c>
    </row>
    <row r="33" customFormat="false" ht="15" hidden="false" customHeight="false" outlineLevel="0" collapsed="false">
      <c r="A33" s="4" t="n">
        <v>46274</v>
      </c>
      <c r="B33" s="5" t="s">
        <v>17</v>
      </c>
      <c r="C33" s="6" t="s">
        <v>15</v>
      </c>
      <c r="D33" s="6" t="n">
        <v>8</v>
      </c>
      <c r="E33" s="7" t="n">
        <v>80</v>
      </c>
      <c r="F33" s="7" t="n">
        <v>120</v>
      </c>
      <c r="G33" s="7" t="n">
        <f aca="false">D33*F33</f>
        <v>960</v>
      </c>
      <c r="H33" s="7" t="n">
        <f aca="false">D33*E33</f>
        <v>640</v>
      </c>
      <c r="I33" s="7" t="n">
        <f aca="false">G33-H33</f>
        <v>320</v>
      </c>
      <c r="J33" s="8" t="n">
        <f aca="false">I33/H33*100</f>
        <v>50</v>
      </c>
    </row>
    <row r="34" customFormat="false" ht="15" hidden="false" customHeight="false" outlineLevel="0" collapsed="false">
      <c r="A34" s="9" t="n">
        <v>46274</v>
      </c>
      <c r="B34" s="10" t="s">
        <v>26</v>
      </c>
      <c r="C34" s="11" t="s">
        <v>13</v>
      </c>
      <c r="D34" s="11" t="n">
        <v>46</v>
      </c>
      <c r="E34" s="12" t="n">
        <v>55</v>
      </c>
      <c r="F34" s="12" t="n">
        <v>85</v>
      </c>
      <c r="G34" s="12" t="n">
        <f aca="false">D34*F34</f>
        <v>3910</v>
      </c>
      <c r="H34" s="12" t="n">
        <f aca="false">D34*E34</f>
        <v>2530</v>
      </c>
      <c r="I34" s="12" t="n">
        <f aca="false">G34-H34</f>
        <v>1380</v>
      </c>
      <c r="J34" s="13" t="n">
        <f aca="false">I34/H34*100</f>
        <v>54.5454545454545</v>
      </c>
    </row>
    <row r="35" customFormat="false" ht="15" hidden="false" customHeight="false" outlineLevel="0" collapsed="false">
      <c r="A35" s="4" t="n">
        <v>46274</v>
      </c>
      <c r="B35" s="5" t="s">
        <v>24</v>
      </c>
      <c r="C35" s="6" t="s">
        <v>13</v>
      </c>
      <c r="D35" s="6" t="n">
        <v>30</v>
      </c>
      <c r="E35" s="7" t="n">
        <v>15</v>
      </c>
      <c r="F35" s="7" t="n">
        <v>25</v>
      </c>
      <c r="G35" s="7" t="n">
        <f aca="false">D35*F35</f>
        <v>750</v>
      </c>
      <c r="H35" s="7" t="n">
        <f aca="false">D35*E35</f>
        <v>450</v>
      </c>
      <c r="I35" s="7" t="n">
        <f aca="false">G35-H35</f>
        <v>300</v>
      </c>
      <c r="J35" s="8" t="n">
        <f aca="false">I35/H35*100</f>
        <v>66.6666666666667</v>
      </c>
    </row>
    <row r="36" customFormat="false" ht="15" hidden="false" customHeight="false" outlineLevel="0" collapsed="false">
      <c r="A36" s="9" t="n">
        <v>46275</v>
      </c>
      <c r="B36" s="10" t="s">
        <v>26</v>
      </c>
      <c r="C36" s="11" t="s">
        <v>13</v>
      </c>
      <c r="D36" s="11" t="n">
        <v>40</v>
      </c>
      <c r="E36" s="12" t="n">
        <v>55</v>
      </c>
      <c r="F36" s="12" t="n">
        <v>85</v>
      </c>
      <c r="G36" s="12" t="n">
        <f aca="false">D36*F36</f>
        <v>3400</v>
      </c>
      <c r="H36" s="12" t="n">
        <f aca="false">D36*E36</f>
        <v>2200</v>
      </c>
      <c r="I36" s="12" t="n">
        <f aca="false">G36-H36</f>
        <v>1200</v>
      </c>
      <c r="J36" s="13" t="n">
        <f aca="false">I36/H36*100</f>
        <v>54.5454545454545</v>
      </c>
    </row>
    <row r="37" customFormat="false" ht="15" hidden="false" customHeight="false" outlineLevel="0" collapsed="false">
      <c r="A37" s="4" t="n">
        <v>46275</v>
      </c>
      <c r="B37" s="5" t="s">
        <v>18</v>
      </c>
      <c r="C37" s="6" t="s">
        <v>15</v>
      </c>
      <c r="D37" s="6" t="n">
        <v>16</v>
      </c>
      <c r="E37" s="7" t="n">
        <v>20</v>
      </c>
      <c r="F37" s="7" t="n">
        <v>30</v>
      </c>
      <c r="G37" s="7" t="n">
        <f aca="false">D37*F37</f>
        <v>480</v>
      </c>
      <c r="H37" s="7" t="n">
        <f aca="false">D37*E37</f>
        <v>320</v>
      </c>
      <c r="I37" s="7" t="n">
        <f aca="false">G37-H37</f>
        <v>160</v>
      </c>
      <c r="J37" s="8" t="n">
        <f aca="false">I37/H37*100</f>
        <v>50</v>
      </c>
    </row>
    <row r="38" customFormat="false" ht="15" hidden="false" customHeight="false" outlineLevel="0" collapsed="false">
      <c r="A38" s="9" t="n">
        <v>46275</v>
      </c>
      <c r="B38" s="10" t="s">
        <v>25</v>
      </c>
      <c r="C38" s="11" t="s">
        <v>13</v>
      </c>
      <c r="D38" s="11" t="n">
        <v>22</v>
      </c>
      <c r="E38" s="12" t="n">
        <v>45</v>
      </c>
      <c r="F38" s="12" t="n">
        <v>70</v>
      </c>
      <c r="G38" s="12" t="n">
        <f aca="false">D38*F38</f>
        <v>1540</v>
      </c>
      <c r="H38" s="12" t="n">
        <f aca="false">D38*E38</f>
        <v>990</v>
      </c>
      <c r="I38" s="12" t="n">
        <f aca="false">G38-H38</f>
        <v>550</v>
      </c>
      <c r="J38" s="13" t="n">
        <f aca="false">I38/H38*100</f>
        <v>55.5555555555556</v>
      </c>
    </row>
    <row r="39" customFormat="false" ht="15" hidden="false" customHeight="false" outlineLevel="0" collapsed="false">
      <c r="A39" s="4" t="n">
        <v>46276</v>
      </c>
      <c r="B39" s="5" t="s">
        <v>27</v>
      </c>
      <c r="C39" s="6" t="s">
        <v>15</v>
      </c>
      <c r="D39" s="6" t="n">
        <v>7</v>
      </c>
      <c r="E39" s="7" t="n">
        <v>20</v>
      </c>
      <c r="F39" s="7" t="n">
        <v>35</v>
      </c>
      <c r="G39" s="7" t="n">
        <f aca="false">D39*F39</f>
        <v>245</v>
      </c>
      <c r="H39" s="7" t="n">
        <f aca="false">D39*E39</f>
        <v>140</v>
      </c>
      <c r="I39" s="7" t="n">
        <f aca="false">G39-H39</f>
        <v>105</v>
      </c>
      <c r="J39" s="8" t="n">
        <f aca="false">I39/H39*100</f>
        <v>75</v>
      </c>
    </row>
    <row r="40" customFormat="false" ht="15" hidden="false" customHeight="false" outlineLevel="0" collapsed="false">
      <c r="A40" s="9" t="n">
        <v>46276</v>
      </c>
      <c r="B40" s="10" t="s">
        <v>28</v>
      </c>
      <c r="C40" s="11" t="s">
        <v>15</v>
      </c>
      <c r="D40" s="11" t="n">
        <v>9</v>
      </c>
      <c r="E40" s="12" t="n">
        <v>90</v>
      </c>
      <c r="F40" s="12" t="n">
        <v>140</v>
      </c>
      <c r="G40" s="12" t="n">
        <f aca="false">D40*F40</f>
        <v>1260</v>
      </c>
      <c r="H40" s="12" t="n">
        <f aca="false">D40*E40</f>
        <v>810</v>
      </c>
      <c r="I40" s="12" t="n">
        <f aca="false">G40-H40</f>
        <v>450</v>
      </c>
      <c r="J40" s="13" t="n">
        <f aca="false">I40/H40*100</f>
        <v>55.5555555555556</v>
      </c>
    </row>
    <row r="41" customFormat="false" ht="15" hidden="false" customHeight="false" outlineLevel="0" collapsed="false">
      <c r="A41" s="4" t="n">
        <v>46276</v>
      </c>
      <c r="B41" s="5" t="s">
        <v>16</v>
      </c>
      <c r="C41" s="6" t="s">
        <v>13</v>
      </c>
      <c r="D41" s="6" t="n">
        <v>39</v>
      </c>
      <c r="E41" s="7" t="n">
        <v>5</v>
      </c>
      <c r="F41" s="7" t="n">
        <v>10</v>
      </c>
      <c r="G41" s="7" t="n">
        <f aca="false">D41*F41</f>
        <v>390</v>
      </c>
      <c r="H41" s="7" t="n">
        <f aca="false">D41*E41</f>
        <v>195</v>
      </c>
      <c r="I41" s="7" t="n">
        <f aca="false">G41-H41</f>
        <v>195</v>
      </c>
      <c r="J41" s="8" t="n">
        <f aca="false">I41/H41*100</f>
        <v>100</v>
      </c>
    </row>
    <row r="42" customFormat="false" ht="15" hidden="false" customHeight="false" outlineLevel="0" collapsed="false">
      <c r="A42" s="9" t="n">
        <v>46277</v>
      </c>
      <c r="B42" s="10" t="s">
        <v>24</v>
      </c>
      <c r="C42" s="11" t="s">
        <v>13</v>
      </c>
      <c r="D42" s="11" t="n">
        <v>34</v>
      </c>
      <c r="E42" s="12" t="n">
        <v>15</v>
      </c>
      <c r="F42" s="12" t="n">
        <v>25</v>
      </c>
      <c r="G42" s="12" t="n">
        <f aca="false">D42*F42</f>
        <v>850</v>
      </c>
      <c r="H42" s="12" t="n">
        <f aca="false">D42*E42</f>
        <v>510</v>
      </c>
      <c r="I42" s="12" t="n">
        <f aca="false">G42-H42</f>
        <v>340</v>
      </c>
      <c r="J42" s="13" t="n">
        <f aca="false">I42/H42*100</f>
        <v>66.6666666666667</v>
      </c>
    </row>
    <row r="43" customFormat="false" ht="15" hidden="false" customHeight="false" outlineLevel="0" collapsed="false">
      <c r="A43" s="4" t="n">
        <v>46277</v>
      </c>
      <c r="B43" s="5" t="s">
        <v>18</v>
      </c>
      <c r="C43" s="6" t="s">
        <v>15</v>
      </c>
      <c r="D43" s="6" t="n">
        <v>12</v>
      </c>
      <c r="E43" s="7" t="n">
        <v>20</v>
      </c>
      <c r="F43" s="7" t="n">
        <v>30</v>
      </c>
      <c r="G43" s="7" t="n">
        <f aca="false">D43*F43</f>
        <v>360</v>
      </c>
      <c r="H43" s="7" t="n">
        <f aca="false">D43*E43</f>
        <v>240</v>
      </c>
      <c r="I43" s="7" t="n">
        <f aca="false">G43-H43</f>
        <v>120</v>
      </c>
      <c r="J43" s="8" t="n">
        <f aca="false">I43/H43*100</f>
        <v>50</v>
      </c>
    </row>
    <row r="44" customFormat="false" ht="15" hidden="false" customHeight="false" outlineLevel="0" collapsed="false">
      <c r="A44" s="9" t="n">
        <v>46277</v>
      </c>
      <c r="B44" s="10" t="s">
        <v>28</v>
      </c>
      <c r="C44" s="11" t="s">
        <v>15</v>
      </c>
      <c r="D44" s="11" t="n">
        <v>16</v>
      </c>
      <c r="E44" s="12" t="n">
        <v>90</v>
      </c>
      <c r="F44" s="12" t="n">
        <v>140</v>
      </c>
      <c r="G44" s="12" t="n">
        <f aca="false">D44*F44</f>
        <v>2240</v>
      </c>
      <c r="H44" s="12" t="n">
        <f aca="false">D44*E44</f>
        <v>1440</v>
      </c>
      <c r="I44" s="12" t="n">
        <f aca="false">G44-H44</f>
        <v>800</v>
      </c>
      <c r="J44" s="13" t="n">
        <f aca="false">I44/H44*100</f>
        <v>55.5555555555556</v>
      </c>
    </row>
    <row r="45" customFormat="false" ht="15" hidden="false" customHeight="false" outlineLevel="0" collapsed="false">
      <c r="A45" s="4" t="n">
        <v>46278</v>
      </c>
      <c r="B45" s="5" t="s">
        <v>17</v>
      </c>
      <c r="C45" s="6" t="s">
        <v>15</v>
      </c>
      <c r="D45" s="6" t="n">
        <v>4</v>
      </c>
      <c r="E45" s="7" t="n">
        <v>80</v>
      </c>
      <c r="F45" s="7" t="n">
        <v>120</v>
      </c>
      <c r="G45" s="7" t="n">
        <f aca="false">D45*F45</f>
        <v>480</v>
      </c>
      <c r="H45" s="7" t="n">
        <f aca="false">D45*E45</f>
        <v>320</v>
      </c>
      <c r="I45" s="7" t="n">
        <f aca="false">G45-H45</f>
        <v>160</v>
      </c>
      <c r="J45" s="8" t="n">
        <f aca="false">I45/H45*100</f>
        <v>50</v>
      </c>
    </row>
    <row r="46" customFormat="false" ht="15" hidden="false" customHeight="false" outlineLevel="0" collapsed="false">
      <c r="A46" s="9" t="n">
        <v>46278</v>
      </c>
      <c r="B46" s="10" t="s">
        <v>16</v>
      </c>
      <c r="C46" s="11" t="s">
        <v>13</v>
      </c>
      <c r="D46" s="11" t="n">
        <v>35</v>
      </c>
      <c r="E46" s="12" t="n">
        <v>5</v>
      </c>
      <c r="F46" s="12" t="n">
        <v>10</v>
      </c>
      <c r="G46" s="12" t="n">
        <f aca="false">D46*F46</f>
        <v>350</v>
      </c>
      <c r="H46" s="12" t="n">
        <f aca="false">D46*E46</f>
        <v>175</v>
      </c>
      <c r="I46" s="12" t="n">
        <f aca="false">G46-H46</f>
        <v>175</v>
      </c>
      <c r="J46" s="13" t="n">
        <f aca="false">I46/H46*100</f>
        <v>100</v>
      </c>
    </row>
    <row r="47" customFormat="false" ht="15" hidden="false" customHeight="false" outlineLevel="0" collapsed="false">
      <c r="A47" s="4" t="n">
        <v>46278</v>
      </c>
      <c r="B47" s="5" t="s">
        <v>20</v>
      </c>
      <c r="C47" s="6" t="s">
        <v>13</v>
      </c>
      <c r="D47" s="6" t="n">
        <v>13</v>
      </c>
      <c r="E47" s="7" t="n">
        <v>45</v>
      </c>
      <c r="F47" s="7" t="n">
        <v>70</v>
      </c>
      <c r="G47" s="7" t="n">
        <f aca="false">D47*F47</f>
        <v>910</v>
      </c>
      <c r="H47" s="7" t="n">
        <f aca="false">D47*E47</f>
        <v>585</v>
      </c>
      <c r="I47" s="7" t="n">
        <f aca="false">G47-H47</f>
        <v>325</v>
      </c>
      <c r="J47" s="8" t="n">
        <f aca="false">I47/H47*100</f>
        <v>55.5555555555556</v>
      </c>
    </row>
    <row r="48" customFormat="false" ht="15" hidden="false" customHeight="false" outlineLevel="0" collapsed="false">
      <c r="A48" s="9" t="n">
        <v>46279</v>
      </c>
      <c r="B48" s="10" t="s">
        <v>12</v>
      </c>
      <c r="C48" s="11" t="s">
        <v>13</v>
      </c>
      <c r="D48" s="11" t="n">
        <v>34</v>
      </c>
      <c r="E48" s="12" t="n">
        <v>3</v>
      </c>
      <c r="F48" s="12" t="n">
        <v>6</v>
      </c>
      <c r="G48" s="12" t="n">
        <f aca="false">D48*F48</f>
        <v>204</v>
      </c>
      <c r="H48" s="12" t="n">
        <f aca="false">D48*E48</f>
        <v>102</v>
      </c>
      <c r="I48" s="12" t="n">
        <f aca="false">G48-H48</f>
        <v>102</v>
      </c>
      <c r="J48" s="13" t="n">
        <f aca="false">I48/H48*100</f>
        <v>100</v>
      </c>
    </row>
    <row r="49" customFormat="false" ht="15" hidden="false" customHeight="false" outlineLevel="0" collapsed="false">
      <c r="A49" s="4" t="n">
        <v>46279</v>
      </c>
      <c r="B49" s="5" t="s">
        <v>20</v>
      </c>
      <c r="C49" s="6" t="s">
        <v>13</v>
      </c>
      <c r="D49" s="6" t="n">
        <v>5</v>
      </c>
      <c r="E49" s="7" t="n">
        <v>45</v>
      </c>
      <c r="F49" s="7" t="n">
        <v>70</v>
      </c>
      <c r="G49" s="7" t="n">
        <f aca="false">D49*F49</f>
        <v>350</v>
      </c>
      <c r="H49" s="7" t="n">
        <f aca="false">D49*E49</f>
        <v>225</v>
      </c>
      <c r="I49" s="7" t="n">
        <f aca="false">G49-H49</f>
        <v>125</v>
      </c>
      <c r="J49" s="8" t="n">
        <f aca="false">I49/H49*100</f>
        <v>55.5555555555556</v>
      </c>
    </row>
    <row r="50" customFormat="false" ht="15" hidden="false" customHeight="false" outlineLevel="0" collapsed="false">
      <c r="A50" s="9" t="n">
        <v>46279</v>
      </c>
      <c r="B50" s="10" t="s">
        <v>14</v>
      </c>
      <c r="C50" s="11" t="s">
        <v>15</v>
      </c>
      <c r="D50" s="11" t="n">
        <v>4</v>
      </c>
      <c r="E50" s="12" t="n">
        <v>150</v>
      </c>
      <c r="F50" s="12" t="n">
        <v>220</v>
      </c>
      <c r="G50" s="12" t="n">
        <f aca="false">D50*F50</f>
        <v>880</v>
      </c>
      <c r="H50" s="12" t="n">
        <f aca="false">D50*E50</f>
        <v>600</v>
      </c>
      <c r="I50" s="12" t="n">
        <f aca="false">G50-H50</f>
        <v>280</v>
      </c>
      <c r="J50" s="13" t="n">
        <f aca="false">I50/H50*100</f>
        <v>46.6666666666667</v>
      </c>
    </row>
    <row r="51" customFormat="false" ht="15" hidden="false" customHeight="false" outlineLevel="0" collapsed="false">
      <c r="A51" s="4" t="n">
        <v>46280</v>
      </c>
      <c r="B51" s="5" t="s">
        <v>17</v>
      </c>
      <c r="C51" s="6" t="s">
        <v>15</v>
      </c>
      <c r="D51" s="6" t="n">
        <v>12</v>
      </c>
      <c r="E51" s="7" t="n">
        <v>80</v>
      </c>
      <c r="F51" s="7" t="n">
        <v>120</v>
      </c>
      <c r="G51" s="7" t="n">
        <f aca="false">D51*F51</f>
        <v>1440</v>
      </c>
      <c r="H51" s="7" t="n">
        <f aca="false">D51*E51</f>
        <v>960</v>
      </c>
      <c r="I51" s="7" t="n">
        <f aca="false">G51-H51</f>
        <v>480</v>
      </c>
      <c r="J51" s="8" t="n">
        <f aca="false">I51/H51*100</f>
        <v>50</v>
      </c>
    </row>
    <row r="52" customFormat="false" ht="15" hidden="false" customHeight="false" outlineLevel="0" collapsed="false">
      <c r="A52" s="9" t="n">
        <v>46280</v>
      </c>
      <c r="B52" s="10" t="s">
        <v>25</v>
      </c>
      <c r="C52" s="11" t="s">
        <v>13</v>
      </c>
      <c r="D52" s="11" t="n">
        <v>47</v>
      </c>
      <c r="E52" s="12" t="n">
        <v>45</v>
      </c>
      <c r="F52" s="12" t="n">
        <v>70</v>
      </c>
      <c r="G52" s="12" t="n">
        <f aca="false">D52*F52</f>
        <v>3290</v>
      </c>
      <c r="H52" s="12" t="n">
        <f aca="false">D52*E52</f>
        <v>2115</v>
      </c>
      <c r="I52" s="12" t="n">
        <f aca="false">G52-H52</f>
        <v>1175</v>
      </c>
      <c r="J52" s="13" t="n">
        <f aca="false">I52/H52*100</f>
        <v>55.5555555555556</v>
      </c>
    </row>
    <row r="53" customFormat="false" ht="15" hidden="false" customHeight="false" outlineLevel="0" collapsed="false">
      <c r="A53" s="4" t="n">
        <v>46280</v>
      </c>
      <c r="B53" s="5" t="s">
        <v>25</v>
      </c>
      <c r="C53" s="6" t="s">
        <v>13</v>
      </c>
      <c r="D53" s="6" t="n">
        <v>41</v>
      </c>
      <c r="E53" s="7" t="n">
        <v>45</v>
      </c>
      <c r="F53" s="7" t="n">
        <v>70</v>
      </c>
      <c r="G53" s="7" t="n">
        <f aca="false">D53*F53</f>
        <v>2870</v>
      </c>
      <c r="H53" s="7" t="n">
        <f aca="false">D53*E53</f>
        <v>1845</v>
      </c>
      <c r="I53" s="7" t="n">
        <f aca="false">G53-H53</f>
        <v>1025</v>
      </c>
      <c r="J53" s="8" t="n">
        <f aca="false">I53/H53*100</f>
        <v>55.5555555555556</v>
      </c>
    </row>
    <row r="54" customFormat="false" ht="15" hidden="false" customHeight="false" outlineLevel="0" collapsed="false">
      <c r="A54" s="9" t="n">
        <v>46280</v>
      </c>
      <c r="B54" s="10" t="s">
        <v>26</v>
      </c>
      <c r="C54" s="11" t="s">
        <v>13</v>
      </c>
      <c r="D54" s="11" t="n">
        <v>40</v>
      </c>
      <c r="E54" s="12" t="n">
        <v>55</v>
      </c>
      <c r="F54" s="12" t="n">
        <v>85</v>
      </c>
      <c r="G54" s="12" t="n">
        <f aca="false">D54*F54</f>
        <v>3400</v>
      </c>
      <c r="H54" s="12" t="n">
        <f aca="false">D54*E54</f>
        <v>2200</v>
      </c>
      <c r="I54" s="12" t="n">
        <f aca="false">G54-H54</f>
        <v>1200</v>
      </c>
      <c r="J54" s="13" t="n">
        <f aca="false">I54/H54*100</f>
        <v>54.5454545454545</v>
      </c>
    </row>
    <row r="56" customFormat="false" ht="15" hidden="false" customHeight="false" outlineLevel="0" collapsed="false">
      <c r="A56" s="14" t="s">
        <v>29</v>
      </c>
      <c r="B56" s="14"/>
      <c r="C56" s="14"/>
      <c r="D56" s="14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5" t="s">
        <v>30</v>
      </c>
      <c r="B57" s="15"/>
      <c r="C57" s="15"/>
      <c r="D57" s="15"/>
      <c r="E57" s="15"/>
      <c r="F57" s="15"/>
      <c r="G57" s="15"/>
      <c r="H57" s="15"/>
      <c r="I57" s="15"/>
    </row>
    <row r="58" customFormat="false" ht="15" hidden="false" customHeight="false" outlineLevel="0" collapsed="false">
      <c r="A58" s="15" t="s">
        <v>31</v>
      </c>
      <c r="B58" s="15"/>
      <c r="C58" s="15"/>
      <c r="D58" s="15"/>
      <c r="E58" s="15"/>
      <c r="F58" s="15"/>
      <c r="G58" s="15"/>
      <c r="H58" s="15"/>
      <c r="I58" s="15"/>
    </row>
    <row r="59" customFormat="false" ht="15" hidden="false" customHeight="false" outlineLevel="0" collapsed="false">
      <c r="A59" s="15" t="s">
        <v>32</v>
      </c>
      <c r="B59" s="15"/>
      <c r="C59" s="15"/>
      <c r="D59" s="15"/>
      <c r="E59" s="15"/>
      <c r="F59" s="15"/>
      <c r="G59" s="15"/>
      <c r="H59" s="15"/>
      <c r="I59" s="15"/>
    </row>
    <row r="60" customFormat="false" ht="15" hidden="false" customHeight="false" outlineLevel="0" collapsed="false">
      <c r="A60" s="15" t="s">
        <v>33</v>
      </c>
      <c r="B60" s="15"/>
      <c r="C60" s="15"/>
      <c r="D60" s="15"/>
      <c r="E60" s="15"/>
      <c r="F60" s="15"/>
      <c r="G60" s="15"/>
      <c r="H60" s="15"/>
      <c r="I60" s="15"/>
    </row>
  </sheetData>
  <mergeCells count="7">
    <mergeCell ref="A1:I1"/>
    <mergeCell ref="A2:I2"/>
    <mergeCell ref="A56:I56"/>
    <mergeCell ref="A57:I57"/>
    <mergeCell ref="A58:I58"/>
    <mergeCell ref="A59:I59"/>
    <mergeCell ref="A60:I60"/>
  </mergeCells>
  <conditionalFormatting sqref="J5:J54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.5"/>
  </cols>
  <sheetData>
    <row r="1" customFormat="false" ht="33.75" hidden="false" customHeight="true" outlineLevel="0" collapsed="false">
      <c r="A1" s="16" t="s">
        <v>34</v>
      </c>
      <c r="B1" s="16"/>
      <c r="C1" s="16"/>
      <c r="D1" s="16"/>
      <c r="E1" s="16"/>
      <c r="F1" s="16"/>
      <c r="G1" s="16"/>
      <c r="H1" s="16"/>
    </row>
    <row r="3" customFormat="false" ht="19.5" hidden="false" customHeight="true" outlineLevel="0" collapsed="false">
      <c r="A3" s="17" t="s">
        <v>35</v>
      </c>
      <c r="B3" s="17"/>
      <c r="C3" s="17" t="s">
        <v>36</v>
      </c>
      <c r="D3" s="17"/>
      <c r="E3" s="17" t="s">
        <v>37</v>
      </c>
      <c r="F3" s="17"/>
      <c r="G3" s="17" t="s">
        <v>38</v>
      </c>
      <c r="H3" s="17"/>
      <c r="I3" s="17" t="s">
        <v>39</v>
      </c>
      <c r="J3" s="17"/>
      <c r="K3" s="17"/>
    </row>
    <row r="4" customFormat="false" ht="21.75" hidden="false" customHeight="true" outlineLevel="0" collapsed="false">
      <c r="A4" s="18" t="n">
        <f aca="false">SUM('Sales Data'!G5:G54)</f>
        <v>50234</v>
      </c>
      <c r="B4" s="18"/>
      <c r="C4" s="18" t="n">
        <f aca="false">SUM('Sales Data'!H5:H54)</f>
        <v>31815</v>
      </c>
      <c r="D4" s="18"/>
      <c r="E4" s="18" t="n">
        <f aca="false">SUM('Sales Data'!I5:I54)</f>
        <v>18419</v>
      </c>
      <c r="F4" s="18"/>
      <c r="G4" s="19" t="n">
        <f aca="false">SUM('Sales Data'!I5:I54)/SUM('Sales Data'!H5:H54)*100</f>
        <v>57.8940751217979</v>
      </c>
      <c r="H4" s="19"/>
      <c r="I4" s="20" t="str">
        <f aca="false">INDEX(A22:A36,MATCH(MAX(E22:E36),E22:E36,0))</f>
        <v>Geometry Box</v>
      </c>
      <c r="J4" s="20"/>
      <c r="K4" s="20"/>
    </row>
    <row r="5" customFormat="false" ht="21.75" hidden="false" customHeight="true" outlineLevel="0" collapsed="false">
      <c r="A5" s="18"/>
      <c r="B5" s="18"/>
      <c r="C5" s="18"/>
      <c r="D5" s="18"/>
      <c r="E5" s="18"/>
      <c r="F5" s="18"/>
      <c r="G5" s="19"/>
      <c r="H5" s="19"/>
      <c r="I5" s="20"/>
      <c r="J5" s="20"/>
      <c r="K5" s="20"/>
    </row>
    <row r="6" customFormat="false" ht="7.5" hidden="false" customHeight="true" outlineLevel="0" collapsed="false"/>
    <row r="20" customFormat="false" ht="15" hidden="false" customHeight="false" outlineLevel="0" collapsed="false">
      <c r="A20" s="21" t="s">
        <v>40</v>
      </c>
    </row>
    <row r="21" customFormat="false" ht="15" hidden="false" customHeight="false" outlineLevel="0" collapsed="false">
      <c r="A21" s="22" t="s">
        <v>3</v>
      </c>
      <c r="B21" s="22" t="s">
        <v>41</v>
      </c>
      <c r="C21" s="22" t="s">
        <v>8</v>
      </c>
      <c r="D21" s="22" t="s">
        <v>9</v>
      </c>
      <c r="E21" s="22" t="s">
        <v>10</v>
      </c>
    </row>
    <row r="22" customFormat="false" ht="15" hidden="false" customHeight="false" outlineLevel="0" collapsed="false">
      <c r="A22" s="23" t="s">
        <v>21</v>
      </c>
      <c r="B22" s="24" t="n">
        <f aca="false">SUMIFS('Sales Data'!D5:D54,'Sales Data'!B5:B54,A22)</f>
        <v>55</v>
      </c>
      <c r="C22" s="25" t="n">
        <f aca="false">SUMIFS('Sales Data'!G5:G54,'Sales Data'!B5:B54,A22)</f>
        <v>2200</v>
      </c>
      <c r="D22" s="25" t="n">
        <f aca="false">SUMIFS('Sales Data'!H5:H54,'Sales Data'!B5:B54,A22)</f>
        <v>1375</v>
      </c>
      <c r="E22" s="25" t="n">
        <f aca="false">SUMIFS('Sales Data'!I5:I54,'Sales Data'!B5:B54,A22)</f>
        <v>825</v>
      </c>
    </row>
    <row r="23" customFormat="false" ht="15" hidden="false" customHeight="false" outlineLevel="0" collapsed="false">
      <c r="A23" s="5" t="s">
        <v>16</v>
      </c>
      <c r="B23" s="6" t="n">
        <f aca="false">SUMIFS('Sales Data'!D5:D54,'Sales Data'!B5:B54,A23)</f>
        <v>329</v>
      </c>
      <c r="C23" s="26" t="n">
        <f aca="false">SUMIFS('Sales Data'!G5:G54,'Sales Data'!B5:B54,A23)</f>
        <v>3290</v>
      </c>
      <c r="D23" s="26" t="n">
        <f aca="false">SUMIFS('Sales Data'!H5:H54,'Sales Data'!B5:B54,A23)</f>
        <v>1645</v>
      </c>
      <c r="E23" s="26" t="n">
        <f aca="false">SUMIFS('Sales Data'!I5:I54,'Sales Data'!B5:B54,A23)</f>
        <v>1645</v>
      </c>
    </row>
    <row r="24" customFormat="false" ht="15" hidden="false" customHeight="false" outlineLevel="0" collapsed="false">
      <c r="A24" s="23" t="s">
        <v>12</v>
      </c>
      <c r="B24" s="24" t="n">
        <f aca="false">SUMIFS('Sales Data'!D5:D54,'Sales Data'!B5:B54,A24)</f>
        <v>99</v>
      </c>
      <c r="C24" s="25" t="n">
        <f aca="false">SUMIFS('Sales Data'!G5:G54,'Sales Data'!B5:B54,A24)</f>
        <v>594</v>
      </c>
      <c r="D24" s="25" t="n">
        <f aca="false">SUMIFS('Sales Data'!H5:H54,'Sales Data'!B5:B54,A24)</f>
        <v>297</v>
      </c>
      <c r="E24" s="25" t="n">
        <f aca="false">SUMIFS('Sales Data'!I5:I54,'Sales Data'!B5:B54,A24)</f>
        <v>297</v>
      </c>
    </row>
    <row r="25" customFormat="false" ht="15" hidden="false" customHeight="false" outlineLevel="0" collapsed="false">
      <c r="A25" s="5" t="s">
        <v>19</v>
      </c>
      <c r="B25" s="6" t="n">
        <f aca="false">SUMIFS('Sales Data'!D5:D54,'Sales Data'!B5:B54,A25)</f>
        <v>53</v>
      </c>
      <c r="C25" s="26" t="n">
        <f aca="false">SUMIFS('Sales Data'!G5:G54,'Sales Data'!B5:B54,A25)</f>
        <v>265</v>
      </c>
      <c r="D25" s="26" t="n">
        <f aca="false">SUMIFS('Sales Data'!H5:H54,'Sales Data'!B5:B54,A25)</f>
        <v>106</v>
      </c>
      <c r="E25" s="26" t="n">
        <f aca="false">SUMIFS('Sales Data'!I5:I54,'Sales Data'!B5:B54,A25)</f>
        <v>159</v>
      </c>
    </row>
    <row r="26" customFormat="false" ht="15" hidden="false" customHeight="false" outlineLevel="0" collapsed="false">
      <c r="A26" s="23" t="s">
        <v>23</v>
      </c>
      <c r="B26" s="24" t="n">
        <f aca="false">SUMIFS('Sales Data'!D5:D54,'Sales Data'!B5:B54,A26)</f>
        <v>29</v>
      </c>
      <c r="C26" s="25" t="n">
        <f aca="false">SUMIFS('Sales Data'!G5:G54,'Sales Data'!B5:B54,A26)</f>
        <v>203</v>
      </c>
      <c r="D26" s="25" t="n">
        <f aca="false">SUMIFS('Sales Data'!H5:H54,'Sales Data'!B5:B54,A26)</f>
        <v>87</v>
      </c>
      <c r="E26" s="25" t="n">
        <f aca="false">SUMIFS('Sales Data'!I5:I54,'Sales Data'!B5:B54,A26)</f>
        <v>116</v>
      </c>
    </row>
    <row r="27" customFormat="false" ht="15" hidden="false" customHeight="false" outlineLevel="0" collapsed="false">
      <c r="A27" s="5" t="s">
        <v>25</v>
      </c>
      <c r="B27" s="6" t="n">
        <f aca="false">SUMIFS('Sales Data'!D5:D54,'Sales Data'!B5:B54,A27)</f>
        <v>119</v>
      </c>
      <c r="C27" s="26" t="n">
        <f aca="false">SUMIFS('Sales Data'!G5:G54,'Sales Data'!B5:B54,A27)</f>
        <v>8330</v>
      </c>
      <c r="D27" s="26" t="n">
        <f aca="false">SUMIFS('Sales Data'!H5:H54,'Sales Data'!B5:B54,A27)</f>
        <v>5355</v>
      </c>
      <c r="E27" s="26" t="n">
        <f aca="false">SUMIFS('Sales Data'!I5:I54,'Sales Data'!B5:B54,A27)</f>
        <v>2975</v>
      </c>
    </row>
    <row r="28" customFormat="false" ht="15" hidden="false" customHeight="false" outlineLevel="0" collapsed="false">
      <c r="A28" s="23" t="s">
        <v>20</v>
      </c>
      <c r="B28" s="24" t="n">
        <f aca="false">SUMIFS('Sales Data'!D5:D54,'Sales Data'!B5:B54,A28)</f>
        <v>53</v>
      </c>
      <c r="C28" s="25" t="n">
        <f aca="false">SUMIFS('Sales Data'!G5:G54,'Sales Data'!B5:B54,A28)</f>
        <v>3710</v>
      </c>
      <c r="D28" s="25" t="n">
        <f aca="false">SUMIFS('Sales Data'!H5:H54,'Sales Data'!B5:B54,A28)</f>
        <v>2385</v>
      </c>
      <c r="E28" s="25" t="n">
        <f aca="false">SUMIFS('Sales Data'!I5:I54,'Sales Data'!B5:B54,A28)</f>
        <v>1325</v>
      </c>
    </row>
    <row r="29" customFormat="false" ht="15" hidden="false" customHeight="false" outlineLevel="0" collapsed="false">
      <c r="A29" s="5" t="s">
        <v>26</v>
      </c>
      <c r="B29" s="6" t="n">
        <f aca="false">SUMIFS('Sales Data'!D5:D54,'Sales Data'!B5:B54,A29)</f>
        <v>126</v>
      </c>
      <c r="C29" s="26" t="n">
        <f aca="false">SUMIFS('Sales Data'!G5:G54,'Sales Data'!B5:B54,A29)</f>
        <v>10710</v>
      </c>
      <c r="D29" s="26" t="n">
        <f aca="false">SUMIFS('Sales Data'!H5:H54,'Sales Data'!B5:B54,A29)</f>
        <v>6930</v>
      </c>
      <c r="E29" s="26" t="n">
        <f aca="false">SUMIFS('Sales Data'!I5:I54,'Sales Data'!B5:B54,A29)</f>
        <v>3780</v>
      </c>
    </row>
    <row r="30" customFormat="false" ht="15" hidden="false" customHeight="false" outlineLevel="0" collapsed="false">
      <c r="A30" s="23" t="s">
        <v>24</v>
      </c>
      <c r="B30" s="24" t="n">
        <f aca="false">SUMIFS('Sales Data'!D5:D54,'Sales Data'!B5:B54,A30)</f>
        <v>167</v>
      </c>
      <c r="C30" s="25" t="n">
        <f aca="false">SUMIFS('Sales Data'!G5:G54,'Sales Data'!B5:B54,A30)</f>
        <v>4175</v>
      </c>
      <c r="D30" s="25" t="n">
        <f aca="false">SUMIFS('Sales Data'!H5:H54,'Sales Data'!B5:B54,A30)</f>
        <v>2505</v>
      </c>
      <c r="E30" s="25" t="n">
        <f aca="false">SUMIFS('Sales Data'!I5:I54,'Sales Data'!B5:B54,A30)</f>
        <v>1670</v>
      </c>
    </row>
    <row r="31" customFormat="false" ht="15" hidden="false" customHeight="false" outlineLevel="0" collapsed="false">
      <c r="A31" s="5" t="s">
        <v>17</v>
      </c>
      <c r="B31" s="6" t="n">
        <f aca="false">SUMIFS('Sales Data'!D5:D54,'Sales Data'!B5:B54,A31)</f>
        <v>55</v>
      </c>
      <c r="C31" s="26" t="n">
        <f aca="false">SUMIFS('Sales Data'!G5:G54,'Sales Data'!B5:B54,A31)</f>
        <v>6600</v>
      </c>
      <c r="D31" s="26" t="n">
        <f aca="false">SUMIFS('Sales Data'!H5:H54,'Sales Data'!B5:B54,A31)</f>
        <v>4400</v>
      </c>
      <c r="E31" s="26" t="n">
        <f aca="false">SUMIFS('Sales Data'!I5:I54,'Sales Data'!B5:B54,A31)</f>
        <v>2200</v>
      </c>
    </row>
    <row r="32" customFormat="false" ht="15" hidden="false" customHeight="false" outlineLevel="0" collapsed="false">
      <c r="A32" s="23" t="s">
        <v>14</v>
      </c>
      <c r="B32" s="24" t="n">
        <f aca="false">SUMIFS('Sales Data'!D5:D54,'Sales Data'!B5:B54,A32)</f>
        <v>22</v>
      </c>
      <c r="C32" s="25" t="n">
        <f aca="false">SUMIFS('Sales Data'!G5:G54,'Sales Data'!B5:B54,A32)</f>
        <v>4840</v>
      </c>
      <c r="D32" s="25" t="n">
        <f aca="false">SUMIFS('Sales Data'!H5:H54,'Sales Data'!B5:B54,A32)</f>
        <v>3300</v>
      </c>
      <c r="E32" s="25" t="n">
        <f aca="false">SUMIFS('Sales Data'!I5:I54,'Sales Data'!B5:B54,A32)</f>
        <v>1540</v>
      </c>
    </row>
    <row r="33" customFormat="false" ht="15" hidden="false" customHeight="false" outlineLevel="0" collapsed="false">
      <c r="A33" s="5" t="s">
        <v>28</v>
      </c>
      <c r="B33" s="6" t="n">
        <f aca="false">SUMIFS('Sales Data'!D5:D54,'Sales Data'!B5:B54,A33)</f>
        <v>25</v>
      </c>
      <c r="C33" s="26" t="n">
        <f aca="false">SUMIFS('Sales Data'!G5:G54,'Sales Data'!B5:B54,A33)</f>
        <v>3500</v>
      </c>
      <c r="D33" s="26" t="n">
        <f aca="false">SUMIFS('Sales Data'!H5:H54,'Sales Data'!B5:B54,A33)</f>
        <v>2250</v>
      </c>
      <c r="E33" s="26" t="n">
        <f aca="false">SUMIFS('Sales Data'!I5:I54,'Sales Data'!B5:B54,A33)</f>
        <v>1250</v>
      </c>
    </row>
    <row r="34" customFormat="false" ht="15" hidden="false" customHeight="false" outlineLevel="0" collapsed="false">
      <c r="A34" s="23" t="s">
        <v>27</v>
      </c>
      <c r="B34" s="24" t="n">
        <f aca="false">SUMIFS('Sales Data'!D5:D54,'Sales Data'!B5:B54,A34)</f>
        <v>7</v>
      </c>
      <c r="C34" s="25" t="n">
        <f aca="false">SUMIFS('Sales Data'!G5:G54,'Sales Data'!B5:B54,A34)</f>
        <v>245</v>
      </c>
      <c r="D34" s="25" t="n">
        <f aca="false">SUMIFS('Sales Data'!H5:H54,'Sales Data'!B5:B54,A34)</f>
        <v>140</v>
      </c>
      <c r="E34" s="25" t="n">
        <f aca="false">SUMIFS('Sales Data'!I5:I54,'Sales Data'!B5:B54,A34)</f>
        <v>105</v>
      </c>
    </row>
    <row r="35" customFormat="false" ht="15" hidden="false" customHeight="false" outlineLevel="0" collapsed="false">
      <c r="A35" s="5" t="s">
        <v>22</v>
      </c>
      <c r="B35" s="6" t="n">
        <f aca="false">SUMIFS('Sales Data'!D5:D54,'Sales Data'!B5:B54,A35)</f>
        <v>6</v>
      </c>
      <c r="C35" s="26" t="n">
        <f aca="false">SUMIFS('Sales Data'!G5:G54,'Sales Data'!B5:B54,A35)</f>
        <v>192</v>
      </c>
      <c r="D35" s="26" t="n">
        <f aca="false">SUMIFS('Sales Data'!H5:H54,'Sales Data'!B5:B54,A35)</f>
        <v>120</v>
      </c>
      <c r="E35" s="26" t="n">
        <f aca="false">SUMIFS('Sales Data'!I5:I54,'Sales Data'!B5:B54,A35)</f>
        <v>72</v>
      </c>
    </row>
    <row r="36" customFormat="false" ht="15" hidden="false" customHeight="false" outlineLevel="0" collapsed="false">
      <c r="A36" s="23" t="s">
        <v>18</v>
      </c>
      <c r="B36" s="24" t="n">
        <f aca="false">SUMIFS('Sales Data'!D5:D54,'Sales Data'!B5:B54,A36)</f>
        <v>46</v>
      </c>
      <c r="C36" s="25" t="n">
        <f aca="false">SUMIFS('Sales Data'!G5:G54,'Sales Data'!B5:B54,A36)</f>
        <v>1380</v>
      </c>
      <c r="D36" s="25" t="n">
        <f aca="false">SUMIFS('Sales Data'!H5:H54,'Sales Data'!B5:B54,A36)</f>
        <v>920</v>
      </c>
      <c r="E36" s="25" t="n">
        <f aca="false">SUMIFS('Sales Data'!I5:I54,'Sales Data'!B5:B54,A36)</f>
        <v>460</v>
      </c>
    </row>
  </sheetData>
  <mergeCells count="11">
    <mergeCell ref="A1:H1"/>
    <mergeCell ref="A3:B3"/>
    <mergeCell ref="C3:D3"/>
    <mergeCell ref="E3:F3"/>
    <mergeCell ref="G3:H3"/>
    <mergeCell ref="I3:K3"/>
    <mergeCell ref="A4:B5"/>
    <mergeCell ref="C4:D5"/>
    <mergeCell ref="E4:F5"/>
    <mergeCell ref="G4:H5"/>
    <mergeCell ref="I4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2026-09-11T06:42:17Z</dcterms:created>
  <dc:creator>openpyxl</dc:creator>
  <dc:description/>
  <dc:language>en-US</dc:language>
  <cp:lastModifiedBy/>
  <dcterms:modified xsi:type="dcterms:W3CDTF">2026-09-11T06:42:23Z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