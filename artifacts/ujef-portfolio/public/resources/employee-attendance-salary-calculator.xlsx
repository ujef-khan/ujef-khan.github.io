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<sst xmlns="http://schemas.openxmlformats.org/spreadsheetml/2006/main" count="65" uniqueCount="53">
  <si>
    <t xml:space="preserve">EMPLOYEE ATTENDANCE + SALARY CALCULATOR</t>
  </si>
  <si>
    <t xml:space="preserve">Prepared for: Small Business Payroll Management  |  Overtime Rate: ₹50/hour  |  Live formula-based sheet</t>
  </si>
  <si>
    <t xml:space="preserve">Employee ID</t>
  </si>
  <si>
    <t xml:space="preserve">Employee Name</t>
  </si>
  <si>
    <t xml:space="preserve">Department</t>
  </si>
  <si>
    <t xml:space="preserve">Monthly Salary (₹)</t>
  </si>
  <si>
    <t xml:space="preserve">Working Days</t>
  </si>
  <si>
    <t xml:space="preserve">Present Days</t>
  </si>
  <si>
    <t xml:space="preserve">Absent Days</t>
  </si>
  <si>
    <t xml:space="preserve">Overtime Hours</t>
  </si>
  <si>
    <t xml:space="preserve">Daily Salary (₹)</t>
  </si>
  <si>
    <t xml:space="preserve">Overtime Payment (₹)</t>
  </si>
  <si>
    <t xml:space="preserve">Final Salary (₹)</t>
  </si>
  <si>
    <t xml:space="preserve">EMP001</t>
  </si>
  <si>
    <t xml:space="preserve">Rahul Sharma</t>
  </si>
  <si>
    <t xml:space="preserve">Sales</t>
  </si>
  <si>
    <t xml:space="preserve">EMP002</t>
  </si>
  <si>
    <t xml:space="preserve">Priya Verma</t>
  </si>
  <si>
    <t xml:space="preserve">Accounts</t>
  </si>
  <si>
    <t xml:space="preserve">EMP003</t>
  </si>
  <si>
    <t xml:space="preserve">Amit Kumar</t>
  </si>
  <si>
    <t xml:space="preserve">Production</t>
  </si>
  <si>
    <t xml:space="preserve">EMP004</t>
  </si>
  <si>
    <t xml:space="preserve">Sneha Patil</t>
  </si>
  <si>
    <t xml:space="preserve">HR</t>
  </si>
  <si>
    <t xml:space="preserve">EMP005</t>
  </si>
  <si>
    <t xml:space="preserve">Vikas Yadav</t>
  </si>
  <si>
    <t xml:space="preserve">EMP006</t>
  </si>
  <si>
    <t xml:space="preserve">Neha Joshi</t>
  </si>
  <si>
    <t xml:space="preserve">EMP007</t>
  </si>
  <si>
    <t xml:space="preserve">Manoj Singh</t>
  </si>
  <si>
    <t xml:space="preserve">EMP008</t>
  </si>
  <si>
    <t xml:space="preserve">Kavita Rao</t>
  </si>
  <si>
    <t xml:space="preserve">EMP009</t>
  </si>
  <si>
    <t xml:space="preserve">Suresh Gupta</t>
  </si>
  <si>
    <t xml:space="preserve">EMP010</t>
  </si>
  <si>
    <t xml:space="preserve">Pooja Mehta</t>
  </si>
  <si>
    <t xml:space="preserve">Formula Logic</t>
  </si>
  <si>
    <t xml:space="preserve">•  Absent Days = Working Days − Present Days</t>
  </si>
  <si>
    <t xml:space="preserve">•  Daily Salary = Monthly Salary ÷ Working Days</t>
  </si>
  <si>
    <t xml:space="preserve">•  Overtime Payment = Overtime Hours × ₹50/hour (rate set in header, editable per company policy)</t>
  </si>
  <si>
    <t xml:space="preserve">•  Final Salary = (Present Days × Daily Salary) + Overtime Payment</t>
  </si>
  <si>
    <t xml:space="preserve">•  Red highlight = Absent Days &gt; 3 (attendance flag)  |  Green = Absent Days ≤ 1 (excellent attendance)</t>
  </si>
  <si>
    <t xml:space="preserve">PAYROLL DASHBOARD</t>
  </si>
  <si>
    <t xml:space="preserve">Total Employees</t>
  </si>
  <si>
    <t xml:space="preserve">Total Salary Payout (₹)</t>
  </si>
  <si>
    <t xml:space="preserve">Total Absent Days</t>
  </si>
  <si>
    <t xml:space="preserve">Total Overtime Hours</t>
  </si>
  <si>
    <t xml:space="preserve">Total Overtime Paid (₹)</t>
  </si>
  <si>
    <t xml:space="preserve">Employees Flagged (Absent &gt; 3)</t>
  </si>
  <si>
    <t xml:space="preserve">Department-wise Summary</t>
  </si>
  <si>
    <t xml:space="preserve">Employees</t>
  </si>
  <si>
    <t xml:space="preserve">Total Salary (₹)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</si>
</sst>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2A44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.5"/>
      <color rgb="FF475467"/>
      <name val="Arial"/>
      <family val="0"/>
      <charset val="1"/>
    </font>
    <font>
      <b val="true"/>
      <sz val="12"/>
      <color rgb="FFE8702A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702A"/>
      <rgbColor rgb="FF4754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4" t="s">
        <v>15</v>
      </c>
      <c r="D5" s="6" t="n">
        <v>18000</v>
      </c>
      <c r="E5" s="4" t="n">
        <v>26</v>
      </c>
      <c r="F5" s="4" t="n">
        <v>24</v>
      </c>
      <c r="G5" s="7" t="n">
        <f aca="false">E5-F5</f>
        <v>2</v>
      </c>
      <c r="H5" s="4" t="n">
        <v>5</v>
      </c>
      <c r="I5" s="6" t="n">
        <f aca="false">D5/E5</f>
        <v>692.307692307692</v>
      </c>
      <c r="J5" s="6" t="n">
        <f aca="false">H5*50</f>
        <v>250</v>
      </c>
      <c r="K5" s="6" t="n">
        <f aca="false">(F5*I5)+J5</f>
        <v>16865.3846153846</v>
      </c>
    </row>
    <row r="6" customFormat="false" ht="15" hidden="false" customHeight="false" outlineLevel="0" collapsed="false">
      <c r="A6" s="8" t="s">
        <v>16</v>
      </c>
      <c r="B6" s="9" t="s">
        <v>17</v>
      </c>
      <c r="C6" s="8" t="s">
        <v>18</v>
      </c>
      <c r="D6" s="10" t="n">
        <v>22000</v>
      </c>
      <c r="E6" s="8" t="n">
        <v>26</v>
      </c>
      <c r="F6" s="8" t="n">
        <v>26</v>
      </c>
      <c r="G6" s="11" t="n">
        <f aca="false">E6-F6</f>
        <v>0</v>
      </c>
      <c r="H6" s="8" t="n">
        <v>2</v>
      </c>
      <c r="I6" s="10" t="n">
        <f aca="false">D6/E6</f>
        <v>846.153846153846</v>
      </c>
      <c r="J6" s="10" t="n">
        <f aca="false">H6*50</f>
        <v>100</v>
      </c>
      <c r="K6" s="10" t="n">
        <f aca="false">(F6*I6)+J6</f>
        <v>22100</v>
      </c>
    </row>
    <row r="7" customFormat="false" ht="15" hidden="false" customHeight="false" outlineLevel="0" collapsed="false">
      <c r="A7" s="4" t="s">
        <v>19</v>
      </c>
      <c r="B7" s="5" t="s">
        <v>20</v>
      </c>
      <c r="C7" s="4" t="s">
        <v>21</v>
      </c>
      <c r="D7" s="6" t="n">
        <v>16000</v>
      </c>
      <c r="E7" s="4" t="n">
        <v>26</v>
      </c>
      <c r="F7" s="4" t="n">
        <v>21</v>
      </c>
      <c r="G7" s="7" t="n">
        <f aca="false">E7-F7</f>
        <v>5</v>
      </c>
      <c r="H7" s="4" t="n">
        <v>8</v>
      </c>
      <c r="I7" s="6" t="n">
        <f aca="false">D7/E7</f>
        <v>615.384615384615</v>
      </c>
      <c r="J7" s="6" t="n">
        <f aca="false">H7*50</f>
        <v>400</v>
      </c>
      <c r="K7" s="6" t="n">
        <f aca="false">(F7*I7)+J7</f>
        <v>13323.0769230769</v>
      </c>
    </row>
    <row r="8" customFormat="false" ht="15" hidden="false" customHeight="false" outlineLevel="0" collapsed="false">
      <c r="A8" s="8" t="s">
        <v>22</v>
      </c>
      <c r="B8" s="9" t="s">
        <v>23</v>
      </c>
      <c r="C8" s="8" t="s">
        <v>24</v>
      </c>
      <c r="D8" s="10" t="n">
        <v>20000</v>
      </c>
      <c r="E8" s="8" t="n">
        <v>26</v>
      </c>
      <c r="F8" s="8" t="n">
        <v>25</v>
      </c>
      <c r="G8" s="11" t="n">
        <f aca="false">E8-F8</f>
        <v>1</v>
      </c>
      <c r="H8" s="8" t="n">
        <v>0</v>
      </c>
      <c r="I8" s="10" t="n">
        <f aca="false">D8/E8</f>
        <v>769.230769230769</v>
      </c>
      <c r="J8" s="10" t="n">
        <f aca="false">H8*50</f>
        <v>0</v>
      </c>
      <c r="K8" s="10" t="n">
        <f aca="false">(F8*I8)+J8</f>
        <v>19230.7692307692</v>
      </c>
    </row>
    <row r="9" customFormat="false" ht="15" hidden="false" customHeight="false" outlineLevel="0" collapsed="false">
      <c r="A9" s="4" t="s">
        <v>25</v>
      </c>
      <c r="B9" s="5" t="s">
        <v>26</v>
      </c>
      <c r="C9" s="4" t="s">
        <v>15</v>
      </c>
      <c r="D9" s="6" t="n">
        <v>17500</v>
      </c>
      <c r="E9" s="4" t="n">
        <v>26</v>
      </c>
      <c r="F9" s="4" t="n">
        <v>22</v>
      </c>
      <c r="G9" s="7" t="n">
        <f aca="false">E9-F9</f>
        <v>4</v>
      </c>
      <c r="H9" s="4" t="n">
        <v>4</v>
      </c>
      <c r="I9" s="6" t="n">
        <f aca="false">D9/E9</f>
        <v>673.076923076923</v>
      </c>
      <c r="J9" s="6" t="n">
        <f aca="false">H9*50</f>
        <v>200</v>
      </c>
      <c r="K9" s="6" t="n">
        <f aca="false">(F9*I9)+J9</f>
        <v>15007.6923076923</v>
      </c>
    </row>
    <row r="10" customFormat="false" ht="15" hidden="false" customHeight="false" outlineLevel="0" collapsed="false">
      <c r="A10" s="8" t="s">
        <v>27</v>
      </c>
      <c r="B10" s="9" t="s">
        <v>28</v>
      </c>
      <c r="C10" s="8" t="s">
        <v>18</v>
      </c>
      <c r="D10" s="10" t="n">
        <v>21000</v>
      </c>
      <c r="E10" s="8" t="n">
        <v>26</v>
      </c>
      <c r="F10" s="8" t="n">
        <v>23</v>
      </c>
      <c r="G10" s="11" t="n">
        <f aca="false">E10-F10</f>
        <v>3</v>
      </c>
      <c r="H10" s="8" t="n">
        <v>3</v>
      </c>
      <c r="I10" s="10" t="n">
        <f aca="false">D10/E10</f>
        <v>807.692307692308</v>
      </c>
      <c r="J10" s="10" t="n">
        <f aca="false">H10*50</f>
        <v>150</v>
      </c>
      <c r="K10" s="10" t="n">
        <f aca="false">(F10*I10)+J10</f>
        <v>18726.9230769231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4" t="s">
        <v>21</v>
      </c>
      <c r="D11" s="6" t="n">
        <v>15500</v>
      </c>
      <c r="E11" s="4" t="n">
        <v>26</v>
      </c>
      <c r="F11" s="4" t="n">
        <v>19</v>
      </c>
      <c r="G11" s="7" t="n">
        <f aca="false">E11-F11</f>
        <v>7</v>
      </c>
      <c r="H11" s="4" t="n">
        <v>10</v>
      </c>
      <c r="I11" s="6" t="n">
        <f aca="false">D11/E11</f>
        <v>596.153846153846</v>
      </c>
      <c r="J11" s="6" t="n">
        <f aca="false">H11*50</f>
        <v>500</v>
      </c>
      <c r="K11" s="6" t="n">
        <f aca="false">(F11*I11)+J11</f>
        <v>11826.9230769231</v>
      </c>
    </row>
    <row r="12" customFormat="false" ht="15" hidden="false" customHeight="false" outlineLevel="0" collapsed="false">
      <c r="A12" s="8" t="s">
        <v>31</v>
      </c>
      <c r="B12" s="9" t="s">
        <v>32</v>
      </c>
      <c r="C12" s="8" t="s">
        <v>24</v>
      </c>
      <c r="D12" s="10" t="n">
        <v>19000</v>
      </c>
      <c r="E12" s="8" t="n">
        <v>26</v>
      </c>
      <c r="F12" s="8" t="n">
        <v>26</v>
      </c>
      <c r="G12" s="11" t="n">
        <f aca="false">E12-F12</f>
        <v>0</v>
      </c>
      <c r="H12" s="8" t="n">
        <v>1</v>
      </c>
      <c r="I12" s="10" t="n">
        <f aca="false">D12/E12</f>
        <v>730.769230769231</v>
      </c>
      <c r="J12" s="10" t="n">
        <f aca="false">H12*50</f>
        <v>50</v>
      </c>
      <c r="K12" s="10" t="n">
        <f aca="false">(F12*I12)+J12</f>
        <v>19050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4" t="s">
        <v>21</v>
      </c>
      <c r="D13" s="6" t="n">
        <v>16500</v>
      </c>
      <c r="E13" s="4" t="n">
        <v>26</v>
      </c>
      <c r="F13" s="4" t="n">
        <v>20</v>
      </c>
      <c r="G13" s="7" t="n">
        <f aca="false">E13-F13</f>
        <v>6</v>
      </c>
      <c r="H13" s="4" t="n">
        <v>6</v>
      </c>
      <c r="I13" s="6" t="n">
        <f aca="false">D13/E13</f>
        <v>634.615384615385</v>
      </c>
      <c r="J13" s="6" t="n">
        <f aca="false">H13*50</f>
        <v>300</v>
      </c>
      <c r="K13" s="6" t="n">
        <f aca="false">(F13*I13)+J13</f>
        <v>12992.3076923077</v>
      </c>
    </row>
    <row r="14" customFormat="false" ht="15" hidden="false" customHeight="false" outlineLevel="0" collapsed="false">
      <c r="A14" s="8" t="s">
        <v>35</v>
      </c>
      <c r="B14" s="9" t="s">
        <v>36</v>
      </c>
      <c r="C14" s="8" t="s">
        <v>15</v>
      </c>
      <c r="D14" s="10" t="n">
        <v>18500</v>
      </c>
      <c r="E14" s="8" t="n">
        <v>26</v>
      </c>
      <c r="F14" s="8" t="n">
        <v>24</v>
      </c>
      <c r="G14" s="11" t="n">
        <f aca="false">E14-F14</f>
        <v>2</v>
      </c>
      <c r="H14" s="8" t="n">
        <v>3</v>
      </c>
      <c r="I14" s="10" t="n">
        <f aca="false">D14/E14</f>
        <v>711.538461538462</v>
      </c>
      <c r="J14" s="10" t="n">
        <f aca="false">H14*50</f>
        <v>150</v>
      </c>
      <c r="K14" s="10" t="n">
        <f aca="false">(F14*I14)+J14</f>
        <v>17226.9230769231</v>
      </c>
    </row>
    <row r="16" customFormat="false" ht="15" hidden="false" customHeight="false" outlineLevel="0" collapsed="false">
      <c r="A16" s="12" t="s">
        <v>37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3" t="s">
        <v>38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 t="s">
        <v>39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3" t="s">
        <v>40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A20" s="13" t="s">
        <v>41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 t="s">
        <v>42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</sheetData>
  <mergeCells count="8">
    <mergeCell ref="A1:K1"/>
    <mergeCell ref="A2:K2"/>
    <mergeCell ref="A16:K16"/>
    <mergeCell ref="A17:K17"/>
    <mergeCell ref="A18:K18"/>
    <mergeCell ref="A19:K19"/>
    <mergeCell ref="A20:K20"/>
    <mergeCell ref="A21:K21"/>
  </mergeCells>
  <conditionalFormatting sqref="G5:G14">
    <cfRule type="expression" priority="2" aboveAverage="0" equalAverage="0" bottom="0" percent="0" rank="0" text="" dxfId="0">
      <formula>G5&gt;3</formula>
    </cfRule>
    <cfRule type="expression" priority="3" aboveAverage="0" equalAverage="0" bottom="0" percent="0" rank="0" text="" dxfId="1">
      <formula>G5&lt;=1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43</v>
      </c>
      <c r="B1" s="1"/>
      <c r="C1" s="1"/>
      <c r="D1" s="1"/>
    </row>
    <row r="3" customFormat="false" ht="24" hidden="false" customHeight="true" outlineLevel="0" collapsed="false">
      <c r="A3" s="14" t="s">
        <v>44</v>
      </c>
      <c r="B3" s="15" t="n">
        <f aca="false">COUNTA(Attendance!B5:B14)</f>
        <v>10</v>
      </c>
    </row>
    <row r="4" customFormat="false" ht="24" hidden="false" customHeight="true" outlineLevel="0" collapsed="false">
      <c r="A4" s="14" t="s">
        <v>45</v>
      </c>
      <c r="B4" s="16" t="n">
        <f aca="false">SUM(Attendance!K5:K14)</f>
        <v>166350</v>
      </c>
    </row>
    <row r="5" customFormat="false" ht="24" hidden="false" customHeight="true" outlineLevel="0" collapsed="false">
      <c r="A5" s="14" t="s">
        <v>46</v>
      </c>
      <c r="B5" s="15" t="n">
        <f aca="false">SUM(Attendance!G5:G14)</f>
        <v>30</v>
      </c>
    </row>
    <row r="6" customFormat="false" ht="24" hidden="false" customHeight="true" outlineLevel="0" collapsed="false">
      <c r="A6" s="14" t="s">
        <v>47</v>
      </c>
      <c r="B6" s="15" t="n">
        <f aca="false">SUM(Attendance!H5:H14)</f>
        <v>42</v>
      </c>
    </row>
    <row r="7" customFormat="false" ht="24" hidden="false" customHeight="true" outlineLevel="0" collapsed="false">
      <c r="A7" s="14" t="s">
        <v>48</v>
      </c>
      <c r="B7" s="16" t="n">
        <f aca="false">SUM(Attendance!J5:J14)</f>
        <v>2100</v>
      </c>
    </row>
    <row r="8" customFormat="false" ht="24" hidden="false" customHeight="true" outlineLevel="0" collapsed="false">
      <c r="A8" s="14" t="s">
        <v>49</v>
      </c>
      <c r="B8" s="15" t="n">
        <f aca="false">COUNTIF(Attendance!G5:G14,"&gt;3")</f>
        <v>4</v>
      </c>
    </row>
    <row r="11" customFormat="false" ht="15" hidden="false" customHeight="false" outlineLevel="0" collapsed="false">
      <c r="A11" s="17" t="s">
        <v>50</v>
      </c>
    </row>
    <row r="12" customFormat="false" ht="15" hidden="false" customHeight="false" outlineLevel="0" collapsed="false">
      <c r="A12" s="18" t="s">
        <v>4</v>
      </c>
      <c r="B12" s="18" t="s">
        <v>51</v>
      </c>
      <c r="C12" s="18" t="s">
        <v>52</v>
      </c>
      <c r="D12" s="18" t="s">
        <v>46</v>
      </c>
    </row>
    <row r="13" customFormat="false" ht="15" hidden="false" customHeight="false" outlineLevel="0" collapsed="false">
      <c r="A13" s="19" t="s">
        <v>18</v>
      </c>
      <c r="B13" s="19" t="n">
        <f aca="false">COUNTIF(Attendance!C5:C14,A13)</f>
        <v>2</v>
      </c>
      <c r="C13" s="20" t="n">
        <f aca="false">SUMIFS(Attendance!K5:K14,Attendance!C5:C14,A13)</f>
        <v>40826.9230769231</v>
      </c>
      <c r="D13" s="19" t="n">
        <f aca="false">SUMIFS(Attendance!G5:G14,Attendance!C5:C14,A13)</f>
        <v>3</v>
      </c>
    </row>
    <row r="14" customFormat="false" ht="15" hidden="false" customHeight="false" outlineLevel="0" collapsed="false">
      <c r="A14" s="21" t="s">
        <v>24</v>
      </c>
      <c r="B14" s="21" t="n">
        <f aca="false">COUNTIF(Attendance!C5:C14,A14)</f>
        <v>2</v>
      </c>
      <c r="C14" s="22" t="n">
        <f aca="false">SUMIFS(Attendance!K5:K14,Attendance!C5:C14,A14)</f>
        <v>38280.7692307692</v>
      </c>
      <c r="D14" s="21" t="n">
        <f aca="false">SUMIFS(Attendance!G5:G14,Attendance!C5:C14,A14)</f>
        <v>1</v>
      </c>
    </row>
    <row r="15" customFormat="false" ht="15" hidden="false" customHeight="false" outlineLevel="0" collapsed="false">
      <c r="A15" s="19" t="s">
        <v>21</v>
      </c>
      <c r="B15" s="19" t="n">
        <f aca="false">COUNTIF(Attendance!C5:C14,A15)</f>
        <v>3</v>
      </c>
      <c r="C15" s="20" t="n">
        <f aca="false">SUMIFS(Attendance!K5:K14,Attendance!C5:C14,A15)</f>
        <v>38142.3076923077</v>
      </c>
      <c r="D15" s="19" t="n">
        <f aca="false">SUMIFS(Attendance!G5:G14,Attendance!C5:C14,A15)</f>
        <v>18</v>
      </c>
    </row>
    <row r="16" customFormat="false" ht="15" hidden="false" customHeight="false" outlineLevel="0" collapsed="false">
      <c r="A16" s="21" t="s">
        <v>15</v>
      </c>
      <c r="B16" s="21" t="n">
        <f aca="false">COUNTIF(Attendance!C5:C14,A16)</f>
        <v>3</v>
      </c>
      <c r="C16" s="22" t="n">
        <f aca="false">SUMIFS(Attendance!K5:K14,Attendance!C5:C14,A16)</f>
        <v>49100</v>
      </c>
      <c r="D16" s="21" t="n">
        <f aca="false">SUMIFS(Attendance!G5:G14,Attendance!C5:C14,A16)</f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2026-09-10T17:41:06Z</dcterms:created>
  <dc:creator>openpyxl</dc:creator>
  <dc:description/>
  <dc:language>en-US</dc:language>
  <cp:lastModifiedBy/>
  <dcterms:modified xsi:type="dcterms:W3CDTF">2026-09-10T17:41:06Z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